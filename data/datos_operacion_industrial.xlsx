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7feca7430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064810fa4084f63"/>
    <x:sheet xmlns:r="http://schemas.openxmlformats.org/officeDocument/2006/relationships" name="Produccion" sheetId="2" r:id="Rd3ef85da061b4d31"/>
    <x:sheet xmlns:r="http://schemas.openxmlformats.org/officeDocument/2006/relationships" name="Paros" sheetId="3" r:id="R415f74b1d7d748e3"/>
    <x:sheet xmlns:r="http://schemas.openxmlformats.org/officeDocument/2006/relationships" name="Mantenimiento" sheetId="4" r:id="R6c76217659604905"/>
    <x:sheet xmlns:r="http://schemas.openxmlformats.org/officeDocument/2006/relationships" name="Logistica" sheetId="5" r:id="R27b9537b0d714874"/>
    <x:sheet xmlns:r="http://schemas.openxmlformats.org/officeDocument/2006/relationships" name="Calidad" sheetId="6" r:id="R225162b49ebf47ab"/>
    <x:sheet xmlns:r="http://schemas.openxmlformats.org/officeDocument/2006/relationships" name="Inventario" sheetId="7" r:id="R506fa63f44064faa"/>
    <x:sheet xmlns:r="http://schemas.openxmlformats.org/officeDocument/2006/relationships" name="Energia" sheetId="8" r:id="R394aa4fd6a7c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b257939bb4f8b" /><Relationship Type="http://schemas.openxmlformats.org/officeDocument/2006/relationships/theme" Target="/xl/theme/theme1.xml" Id="Rf9dbca226f964dd5" /><Relationship Type="http://schemas.microsoft.com/office/2022/11/relationships/FeaturePropertyBag" Target="/xl/featurePropertyBag/featurePropertyBag.xml" Id="R723463c31b3b47e4" /><Relationship Type="http://schemas.openxmlformats.org/officeDocument/2006/relationships/sharedStrings" Target="/xl/sharedStrings.xml" Id="Ra464b0fdaf6443bc" /><Relationship Type="http://schemas.openxmlformats.org/officeDocument/2006/relationships/worksheet" Target="/xl/worksheets/sheet1.xml" Id="Ra064810fa4084f63" /><Relationship Type="http://schemas.openxmlformats.org/officeDocument/2006/relationships/worksheet" Target="/xl/worksheets/sheet2.xml" Id="Rd3ef85da061b4d31" /><Relationship Type="http://schemas.openxmlformats.org/officeDocument/2006/relationships/worksheet" Target="/xl/worksheets/sheet3.xml" Id="R415f74b1d7d748e3" /><Relationship Type="http://schemas.openxmlformats.org/officeDocument/2006/relationships/worksheet" Target="/xl/worksheets/sheet4.xml" Id="R6c76217659604905" /><Relationship Type="http://schemas.openxmlformats.org/officeDocument/2006/relationships/worksheet" Target="/xl/worksheets/sheet5.xml" Id="R27b9537b0d714874" /><Relationship Type="http://schemas.openxmlformats.org/officeDocument/2006/relationships/worksheet" Target="/xl/worksheets/sheet6.xml" Id="R225162b49ebf47ab" /><Relationship Type="http://schemas.openxmlformats.org/officeDocument/2006/relationships/worksheet" Target="/xl/worksheets/sheet7.xml" Id="R506fa63f44064faa" /><Relationship Type="http://schemas.openxmlformats.org/officeDocument/2006/relationships/worksheet" Target="/xl/worksheets/sheet8.xml" Id="R394aa4fd6a7c4f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806f4c5b844c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Producción por línea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Producción</c:v>
          </c:tx>
          <c:cat>
            <c:strRef>
              <c:f>'Resumen'!$D$4:$D$7</c:f>
              <c:strCache>
                <c:ptCount val="0"/>
              </c:strCache>
            </c:strRef>
          </c:cat>
          <c:val>
            <c:numRef>
              <c:f>'Resumen'!$E$4:$E$7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Buenas</c:v>
          </c:tx>
          <c:cat>
            <c:strRef>
              <c:f>'Resumen'!$D$4:$D$7</c:f>
              <c:strCache>
                <c:ptCount val="0"/>
              </c:strCache>
            </c:strRef>
          </c:cat>
          <c:val>
            <c:numRef>
              <c:f>'Resumen'!$F$4:$F$7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806f4c5b844c4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Produccion" displayName="T_Produccion" ref="A1:P685" headerRowCount="1" totalsRowCount="0" totalsRowShown="0">
  <x:tableColumns count="16">
    <x:tableColumn id="1" name="id"/>
    <x:tableColumn id="2" name="fecha"/>
    <x:tableColumn id="3" name="linea_id"/>
    <x:tableColumn id="4" name="linea"/>
    <x:tableColumn id="5" name="turno"/>
    <x:tableColumn id="6" name="producto_id"/>
    <x:tableColumn id="7" name="producto"/>
    <x:tableColumn id="8" name="min_programados"/>
    <x:tableColumn id="9" name="paro_planeado_min"/>
    <x:tableColumn id="10" name="paro_no_planeado_min"/>
    <x:tableColumn id="11" name="tiempo_operacion_min"/>
    <x:tableColumn id="12" name="velocidad_ideal_u_min"/>
    <x:tableColumn id="13" name="objetivo_unidades"/>
    <x:tableColumn id="14" name="unidades_totales"/>
    <x:tableColumn id="15" name="unidades_buenas"/>
    <x:tableColumn id="16" name="scrap_unidad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Paros" displayName="T_Paros" ref="A1:K768" headerRowCount="1" totalsRowCount="0" totalsRowShown="0">
  <x:tableColumns count="11">
    <x:tableColumn id="1" name="id"/>
    <x:tableColumn id="2" name="fecha"/>
    <x:tableColumn id="3" name="linea_id"/>
    <x:tableColumn id="4" name="linea"/>
    <x:tableColumn id="5" name="turno"/>
    <x:tableColumn id="6" name="codigo_causa"/>
    <x:tableColumn id="7" name="causa"/>
    <x:tableColumn id="8" name="area_responsable"/>
    <x:tableColumn id="9" name="duracion_min"/>
    <x:tableColumn id="10" name="estatus"/>
    <x:tableColumn id="11" name="acc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Mantenimiento" displayName="T_Mantenimiento" ref="A1:K65" headerRowCount="1" totalsRowCount="0" totalsRowShown="0">
  <x:tableColumns count="11">
    <x:tableColumn id="1" name="id"/>
    <x:tableColumn id="2" name="fecha"/>
    <x:tableColumn id="3" name="linea_id"/>
    <x:tableColumn id="4" name="linea"/>
    <x:tableColumn id="5" name="tipo"/>
    <x:tableColumn id="6" name="descripcion"/>
    <x:tableColumn id="7" name="planeado"/>
    <x:tableColumn id="8" name="duracion_min"/>
    <x:tableColumn id="9" name="estatus"/>
    <x:tableColumn id="10" name="tecnico"/>
    <x:tableColumn id="11" name="costo_mx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Logistica" displayName="T_Logistica" ref="A1:K298" headerRowCount="1" totalsRowCount="0" totalsRowShown="0">
  <x:tableColumns count="11">
    <x:tableColumn id="1" name="id"/>
    <x:tableColumn id="2" name="orden_compra"/>
    <x:tableColumn id="3" name="proveedor_id"/>
    <x:tableColumn id="4" name="proveedor"/>
    <x:tableColumn id="5" name="fecha_promesa"/>
    <x:tableColumn id="6" name="fecha_real"/>
    <x:tableColumn id="7" name="cantidad_ordenada"/>
    <x:tableColumn id="8" name="cantidad_recibida"/>
    <x:tableColumn id="9" name="a_tiempo"/>
    <x:tableColumn id="10" name="categoria"/>
    <x:tableColumn id="11" name="tiempo_descarga_mi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Calidad" displayName="T_Calidad" ref="A1:I87" headerRowCount="1" totalsRowCount="0" totalsRowShown="0">
  <x:tableColumns count="9">
    <x:tableColumn id="1" name="id"/>
    <x:tableColumn id="2" name="fecha"/>
    <x:tableColumn id="3" name="linea_id"/>
    <x:tableColumn id="4" name="linea"/>
    <x:tableColumn id="5" name="defecto"/>
    <x:tableColumn id="6" name="severidad"/>
    <x:tableColumn id="7" name="cantidad_afectada"/>
    <x:tableColumn id="8" name="accion"/>
    <x:tableColumn id="9" name="e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Inventario" displayName="T_Inventario" ref="A1:H156" headerRowCount="1" totalsRowCount="0" totalsRowShown="0">
  <x:tableColumns count="8">
    <x:tableColumn id="1" name="id"/>
    <x:tableColumn id="2" name="fecha"/>
    <x:tableColumn id="3" name="material_id"/>
    <x:tableColumn id="4" name="material"/>
    <x:tableColumn id="5" name="existencia"/>
    <x:tableColumn id="6" name="punto_reorden"/>
    <x:tableColumn id="7" name="bajo_reorden"/>
    <x:tableColumn id="8" name="ubicac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Energia" displayName="T_Energia" ref="A1:F369" headerRowCount="1" totalsRowCount="0" totalsRowShown="0">
  <x:tableColumns count="6">
    <x:tableColumn id="1" name="id"/>
    <x:tableColumn id="2" name="fecha"/>
    <x:tableColumn id="3" name="linea_id"/>
    <x:tableColumn id="4" name="linea"/>
    <x:tableColumn id="5" name="kwh"/>
    <x:tableColumn id="6" name="costo_mx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0234ce57044d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4034bb9fdd43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44299ac5444f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274b1a559f40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e274390e3745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c01782a9124c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0ebad1c2ec45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2d092b361a4462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.880000114440918" hidden="0" customWidth="1"/>
    <x:col min="2" max="2" width="29.6299991607666" hidden="0" customWidth="1"/>
    <x:col min="4" max="4" width="5.130000114440918" hidden="0" customWidth="1"/>
    <x:col min="5" max="5" width="9.130000114440918" hidden="0" customWidth="1"/>
    <x:col min="6" max="6" width="7.130000114440918" hidden="0" customWidth="1"/>
  </x:cols>
  <x:sheetData>
    <x:row r="1">
      <x:c r="A1" s="21" t="str">
        <x:v>Resumen operativo industrial</x:v>
      </x:c>
    </x:row>
    <x:row r="3">
      <x:c r="A3" s="27" t="str">
        <x:v>KPI</x:v>
      </x:c>
      <x:c r="B3" s="27" t="str">
        <x:v>Valor</x:v>
      </x:c>
      <x:c r="D3" s="35" t="str">
        <x:v>Línea</x:v>
      </x:c>
      <x:c r="E3" s="35" t="str">
        <x:v>Producción</x:v>
      </x:c>
      <x:c r="F3" s="35" t="str">
        <x:v>Buenas</x:v>
      </x:c>
    </x:row>
    <x:row r="4">
      <x:c r="A4" t="str">
        <x:v>Unidades producidas</x:v>
      </x:c>
      <x:c r="B4" t="n">
        <x:f>SUM(Produccion!N2:N685)</x:f>
        <x:v>2253301</x:v>
      </x:c>
      <x:c r="D4" t="str">
        <x:v>L1</x:v>
      </x:c>
      <x:c r="E4" t="n">
        <x:f>SUMIF(Produccion!C2:C685,D4,Produccion!N2:N685)</x:f>
        <x:v>569484</x:v>
      </x:c>
      <x:c r="F4" t="n">
        <x:f>SUMIF(Produccion!C2:C685,D4,Produccion!O2:O685)</x:f>
        <x:v>539634</x:v>
      </x:c>
    </x:row>
    <x:row r="5">
      <x:c r="A5" t="str">
        <x:v>Unidades buenas</x:v>
      </x:c>
      <x:c r="B5" t="n">
        <x:f>SUM(Produccion!O2:O685)</x:f>
        <x:v>2138845</x:v>
      </x:c>
      <x:c r="D5" t="str">
        <x:v>L2</x:v>
      </x:c>
      <x:c r="E5" t="n">
        <x:f>SUMIF(Produccion!C2:C685,D5,Produccion!N2:N685)</x:f>
        <x:v>538242</x:v>
      </x:c>
      <x:c r="F5" t="n">
        <x:f>SUMIF(Produccion!C2:C685,D5,Produccion!O2:O685)</x:f>
        <x:v>510794</x:v>
      </x:c>
    </x:row>
    <x:row r="6">
      <x:c r="A6" t="str">
        <x:v>Scrap %</x:v>
      </x:c>
      <x:c r="B6" s="30" t="n">
        <x:f>IFERROR(SUM(Produccion!P2:P685)/SUM(Produccion!N2:N685),0)</x:f>
        <x:v>0.05079481170070044</x:v>
      </x:c>
      <x:c r="D6" t="str">
        <x:v>L3</x:v>
      </x:c>
      <x:c r="E6" t="n">
        <x:f>SUMIF(Produccion!C2:C685,D6,Produccion!N2:N685)</x:f>
        <x:v>531147</x:v>
      </x:c>
      <x:c r="F6" t="n">
        <x:f>SUMIF(Produccion!C2:C685,D6,Produccion!O2:O685)</x:f>
        <x:v>504453</x:v>
      </x:c>
    </x:row>
    <x:row r="7">
      <x:c r="A7" t="str">
        <x:v>Paro no planeado (h)</x:v>
      </x:c>
      <x:c r="B7" s="30" t="n">
        <x:f>SUM(Produccion!J2:J685)/60</x:f>
        <x:v>316.93333333333334</x:v>
      </x:c>
      <x:c r="D7" t="str">
        <x:v>L4</x:v>
      </x:c>
      <x:c r="E7" t="n">
        <x:f>SUMIF(Produccion!C2:C685,D7,Produccion!N2:N685)</x:f>
        <x:v>614428</x:v>
      </x:c>
      <x:c r="F7" t="n">
        <x:f>SUMIF(Produccion!C2:C685,D7,Produccion!O2:O685)</x:f>
        <x:v>583964</x:v>
      </x:c>
    </x:row>
    <x:row r="8">
      <x:c r="A8" t="str">
        <x:v>OTIF %</x:v>
      </x:c>
      <x:c r="B8" s="30" t="n">
        <x:f>COUNTIF(Logistica!I2:I298,1)/COUNTA(Logistica!I2:I298)</x:f>
        <x:v>0.9191919191919192</x:v>
      </x:c>
      <x:c r="D8" t="str">
        <x:v>TOTAL</x:v>
      </x:c>
      <x:c r="E8" t="n">
        <x:f>SUM(E4:E7)</x:f>
        <x:v>2253301</x:v>
      </x:c>
      <x:c r="F8" t="n">
        <x:f>SUM(F4:F7)</x:f>
        <x:v>2138845</x:v>
      </x:c>
    </x:row>
    <x:row r="9">
      <x:c r="A9" t="str">
        <x:v>Órdenes de mantenimiento</x:v>
      </x:c>
      <x:c r="B9" t="n">
        <x:f>COUNTA(Mantenimiento!A2:A65)</x:f>
        <x:v>64</x:v>
      </x:c>
    </x:row>
    <x:row r="10">
      <x:c r="A10" t="str">
        <x:v>Costo mantenimiento (MXN)</x:v>
      </x:c>
      <x:c r="B10" s="32" t="n">
        <x:f>SUM(Mantenimiento!K2:K65)</x:f>
        <x:v>156663.78000000003</x:v>
      </x:c>
    </x:row>
    <x:row r="13">
      <x:c r="A13" s="39" t="str">
        <x:v>KPI industrial</x:v>
      </x:c>
      <x:c r="B13" s="39" t="str">
        <x:v>Qué demuestra en Power BI</x:v>
      </x:c>
    </x:row>
    <x:row r="14">
      <x:c r="A14" t="str">
        <x:v>OEE</x:v>
      </x:c>
      <x:c r="B14" t="str">
        <x:v>Disponibilidad × Rendimiento × Calidad</x:v>
      </x:c>
    </x:row>
    <x:row r="15">
      <x:c r="A15" t="str">
        <x:v>MTBF</x:v>
      </x:c>
      <x:c r="B15" t="str">
        <x:v>Tiempo medio entre fallas</x:v>
      </x:c>
    </x:row>
    <x:row r="16">
      <x:c r="A16" t="str">
        <x:v>MTTR</x:v>
      </x:c>
      <x:c r="B16" t="str">
        <x:v>Tiempo medio de reparación</x:v>
      </x:c>
    </x:row>
    <x:row r="17">
      <x:c r="A17" t="str">
        <x:v>OTIF</x:v>
      </x:c>
      <x:c r="B17" t="str">
        <x:v>Entregas completas y a tiempo</x:v>
      </x:c>
    </x:row>
    <x:row r="18">
      <x:c r="A18" t="str">
        <x:v>Scrap</x:v>
      </x:c>
      <x:c r="B18" t="str">
        <x:v>Pérdida por producto no conforme</x:v>
      </x:c>
    </x:row>
    <x:row r="19">
      <x:c r="A19" t="str">
        <x:v>Cumplimiento PM</x:v>
      </x:c>
      <x:c r="B19" t="str">
        <x:v>Mantenimiento preventivo ejecutado</x:v>
      </x:c>
    </x:row>
    <x:row r="20">
      <x:c r="A20" t="str">
        <x:v>Consumo energético</x:v>
      </x:c>
      <x:c r="B20" t="str">
        <x:v>Eficiencia energética por línea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f0234ce57044d95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3" hidden="0" customWidth="1"/>
    <x:col min="7" max="7" width="10" hidden="0" customWidth="1"/>
    <x:col min="8" max="8" width="17" hidden="0" customWidth="1"/>
    <x:col min="9" max="9" width="19" hidden="0" customWidth="1"/>
    <x:col min="10" max="10" width="22" hidden="0" customWidth="1"/>
    <x:col min="11" max="11" width="22" hidden="0" customWidth="1"/>
    <x:col min="12" max="12" width="22" hidden="0" customWidth="1"/>
    <x:col min="13" max="13" width="19" hidden="0" customWidth="1"/>
    <x:col min="14" max="14" width="18" hidden="0" customWidth="1"/>
    <x:col min="15" max="15" width="17" hidden="0" customWidth="1"/>
    <x:col min="16" max="16" width="16" hidden="0" customWidth="1"/>
  </x:cols>
  <x:sheetData>
    <x:row r="1">
      <x:c r="A1" s="10" t="str">
        <x:v>id</x:v>
      </x:c>
      <x:c r="B1" s="10" t="str">
        <x:v>fecha</x:v>
      </x:c>
      <x:c r="C1" s="10" t="str">
        <x:v>linea_id</x:v>
      </x:c>
      <x:c r="D1" s="10" t="str">
        <x:v>linea</x:v>
      </x:c>
      <x:c r="E1" s="10" t="str">
        <x:v>turno</x:v>
      </x:c>
      <x:c r="F1" s="10" t="str">
        <x:v>producto_id</x:v>
      </x:c>
      <x:c r="G1" s="10" t="str">
        <x:v>producto</x:v>
      </x:c>
      <x:c r="H1" s="10" t="str">
        <x:v>min_programados</x:v>
      </x:c>
      <x:c r="I1" s="10" t="str">
        <x:v>paro_planeado_min</x:v>
      </x:c>
      <x:c r="J1" s="10" t="str">
        <x:v>paro_no_planeado_min</x:v>
      </x:c>
      <x:c r="K1" s="10" t="str">
        <x:v>tiempo_operacion_min</x:v>
      </x:c>
      <x:c r="L1" s="10" t="str">
        <x:v>velocidad_ideal_u_min</x:v>
      </x:c>
      <x:c r="M1" s="10" t="str">
        <x:v>objetivo_unidades</x:v>
      </x:c>
      <x:c r="N1" s="10" t="str">
        <x:v>unidades_totales</x:v>
      </x:c>
      <x:c r="O1" s="10" t="str">
        <x:v>unidades_buenas</x:v>
      </x:c>
      <x:c r="P1" s="10" t="str">
        <x:v>scrap_unidades</x:v>
      </x:c>
    </x:row>
    <x:row r="2">
      <x:c r="A2" s="11" t="n">
        <x:v>1</x:v>
      </x:c>
      <x:c r="B2" s="11" t="str">
        <x:v>2026-07-01</x:v>
      </x:c>
      <x:c r="C2" s="11" t="str">
        <x:v>L1</x:v>
      </x:c>
      <x:c r="D2" s="11" t="str">
        <x:v>Envasado A</x:v>
      </x:c>
      <x:c r="E2" s="11" t="str">
        <x:v>Matutino</x:v>
      </x:c>
      <x:c r="F2" s="11" t="str">
        <x:v>P003</x:v>
      </x:c>
      <x:c r="G2" s="11" t="str">
        <x:v>Producto Gamma</x:v>
      </x:c>
      <x:c r="H2" s="11" t="n">
        <x:v>480</x:v>
      </x:c>
      <x:c r="I2" s="11" t="n">
        <x:v>18</x:v>
      </x:c>
      <x:c r="J2" s="11" t="n">
        <x:v>45</x:v>
      </x:c>
      <x:c r="K2" s="11" t="n">
        <x:v>417</x:v>
      </x:c>
      <x:c r="L2" s="11" t="n">
        <x:v>8</x:v>
      </x:c>
      <x:c r="M2" s="11" t="n">
        <x:v>3326</x:v>
      </x:c>
      <x:c r="N2" s="11" t="n">
        <x:v>3054</x:v>
      </x:c>
      <x:c r="O2" s="11" t="n">
        <x:v>2911</x:v>
      </x:c>
      <x:c r="P2" s="11" t="n">
        <x:v>143</x:v>
      </x:c>
    </x:row>
    <x:row r="3">
      <x:c r="A3" s="11" t="n">
        <x:v>2</x:v>
      </x:c>
      <x:c r="B3" s="11" t="str">
        <x:v>2026-07-01</x:v>
      </x:c>
      <x:c r="C3" s="11" t="str">
        <x:v>L1</x:v>
      </x:c>
      <x:c r="D3" s="11" t="str">
        <x:v>Envasado A</x:v>
      </x:c>
      <x:c r="E3" s="11" t="str">
        <x:v>Vespertino</x:v>
      </x:c>
      <x:c r="F3" s="11" t="str">
        <x:v>P003</x:v>
      </x:c>
      <x:c r="G3" s="11" t="str">
        <x:v>Producto Gamma</x:v>
      </x:c>
      <x:c r="H3" s="11" t="n">
        <x:v>480</x:v>
      </x:c>
      <x:c r="I3" s="11" t="n">
        <x:v>32</x:v>
      </x:c>
      <x:c r="J3" s="11" t="n">
        <x:v>63</x:v>
      </x:c>
      <x:c r="K3" s="11" t="n">
        <x:v>385</x:v>
      </x:c>
      <x:c r="L3" s="11" t="n">
        <x:v>8</x:v>
      </x:c>
      <x:c r="M3" s="11" t="n">
        <x:v>3225</x:v>
      </x:c>
      <x:c r="N3" s="11" t="n">
        <x:v>2926</x:v>
      </x:c>
      <x:c r="O3" s="11" t="n">
        <x:v>2798</x:v>
      </x:c>
      <x:c r="P3" s="11" t="n">
        <x:v>128</x:v>
      </x:c>
    </x:row>
    <x:row r="4">
      <x:c r="A4" s="11" t="n">
        <x:v>3</x:v>
      </x:c>
      <x:c r="B4" s="11" t="str">
        <x:v>2026-07-01</x:v>
      </x:c>
      <x:c r="C4" s="11" t="str">
        <x:v>L2</x:v>
      </x:c>
      <x:c r="D4" s="11" t="str">
        <x:v>Envasado B</x:v>
      </x:c>
      <x:c r="E4" s="11" t="str">
        <x:v>Matutino</x:v>
      </x:c>
      <x:c r="F4" s="11" t="str">
        <x:v>P001</x:v>
      </x:c>
      <x:c r="G4" s="11" t="str">
        <x:v>Producto Alfa</x:v>
      </x:c>
      <x:c r="H4" s="11" t="n">
        <x:v>480</x:v>
      </x:c>
      <x:c r="I4" s="11" t="n">
        <x:v>17</x:v>
      </x:c>
      <x:c r="J4" s="11" t="n">
        <x:v>33</x:v>
      </x:c>
      <x:c r="K4" s="11" t="n">
        <x:v>430</x:v>
      </x:c>
      <x:c r="L4" s="11" t="n">
        <x:v>7.5</x:v>
      </x:c>
      <x:c r="M4" s="11" t="n">
        <x:v>3125</x:v>
      </x:c>
      <x:c r="N4" s="11" t="n">
        <x:v>3103</x:v>
      </x:c>
      <x:c r="O4" s="11" t="n">
        <x:v>3003</x:v>
      </x:c>
      <x:c r="P4" s="11" t="n">
        <x:v>100</x:v>
      </x:c>
    </x:row>
    <x:row r="5">
      <x:c r="A5" s="11" t="n">
        <x:v>4</x:v>
      </x:c>
      <x:c r="B5" s="11" t="str">
        <x:v>2026-07-01</x:v>
      </x:c>
      <x:c r="C5" s="11" t="str">
        <x:v>L2</x:v>
      </x:c>
      <x:c r="D5" s="11" t="str">
        <x:v>Envasado B</x:v>
      </x:c>
      <x:c r="E5" s="11" t="str">
        <x:v>Vespertino</x:v>
      </x:c>
      <x:c r="F5" s="11" t="str">
        <x:v>P003</x:v>
      </x:c>
      <x:c r="G5" s="11" t="str">
        <x:v>Producto Gamma</x:v>
      </x:c>
      <x:c r="H5" s="11" t="n">
        <x:v>480</x:v>
      </x:c>
      <x:c r="I5" s="11" t="n">
        <x:v>32</x:v>
      </x:c>
      <x:c r="J5" s="11" t="n">
        <x:v>30</x:v>
      </x:c>
      <x:c r="K5" s="11" t="n">
        <x:v>418</x:v>
      </x:c>
      <x:c r="L5" s="11" t="n">
        <x:v>7.5</x:v>
      </x:c>
      <x:c r="M5" s="11" t="n">
        <x:v>3024</x:v>
      </x:c>
      <x:c r="N5" s="11" t="n">
        <x:v>2718</x:v>
      </x:c>
      <x:c r="O5" s="11" t="n">
        <x:v>2599</x:v>
      </x:c>
      <x:c r="P5" s="11" t="n">
        <x:v>119</x:v>
      </x:c>
    </x:row>
    <x:row r="6">
      <x:c r="A6" s="11" t="n">
        <x:v>5</x:v>
      </x:c>
      <x:c r="B6" s="11" t="str">
        <x:v>2026-07-01</x:v>
      </x:c>
      <x:c r="C6" s="11" t="str">
        <x:v>L3</x:v>
      </x:c>
      <x:c r="D6" s="11" t="str">
        <x:v>Empaque</x:v>
      </x:c>
      <x:c r="E6" s="11" t="str">
        <x:v>Matutino</x:v>
      </x:c>
      <x:c r="F6" s="11" t="str">
        <x:v>P002</x:v>
      </x:c>
      <x:c r="G6" s="11" t="str">
        <x:v>Producto Beta</x:v>
      </x:c>
      <x:c r="H6" s="11" t="n">
        <x:v>480</x:v>
      </x:c>
      <x:c r="I6" s="11" t="n">
        <x:v>15</x:v>
      </x:c>
      <x:c r="J6" s="11" t="n">
        <x:v>28</x:v>
      </x:c>
      <x:c r="K6" s="11" t="n">
        <x:v>437</x:v>
      </x:c>
      <x:c r="L6" s="11" t="n">
        <x:v>8.67</x:v>
      </x:c>
      <x:c r="M6" s="11" t="n">
        <x:v>3626</x:v>
      </x:c>
      <x:c r="N6" s="11" t="n">
        <x:v>3346</x:v>
      </x:c>
      <x:c r="O6" s="11" t="n">
        <x:v>3116</x:v>
      </x:c>
      <x:c r="P6" s="11" t="n">
        <x:v>230</x:v>
      </x:c>
    </x:row>
    <x:row r="7">
      <x:c r="A7" s="11" t="n">
        <x:v>6</x:v>
      </x:c>
      <x:c r="B7" s="11" t="str">
        <x:v>2026-07-01</x:v>
      </x:c>
      <x:c r="C7" s="11" t="str">
        <x:v>L3</x:v>
      </x:c>
      <x:c r="D7" s="11" t="str">
        <x:v>Empaque</x:v>
      </x:c>
      <x:c r="E7" s="11" t="str">
        <x:v>Vespertino</x:v>
      </x:c>
      <x:c r="F7" s="11" t="str">
        <x:v>P001</x:v>
      </x:c>
      <x:c r="G7" s="11" t="str">
        <x:v>Producto Alfa</x:v>
      </x:c>
      <x:c r="H7" s="11" t="n">
        <x:v>480</x:v>
      </x:c>
      <x:c r="I7" s="11" t="n">
        <x:v>25</x:v>
      </x:c>
      <x:c r="J7" s="11" t="n">
        <x:v>36</x:v>
      </x:c>
      <x:c r="K7" s="11" t="n">
        <x:v>419</x:v>
      </x:c>
      <x:c r="L7" s="11" t="n">
        <x:v>8.67</x:v>
      </x:c>
      <x:c r="M7" s="11" t="n">
        <x:v>3549</x:v>
      </x:c>
      <x:c r="N7" s="11" t="n">
        <x:v>3432</x:v>
      </x:c>
      <x:c r="O7" s="11" t="n">
        <x:v>3318</x:v>
      </x:c>
      <x:c r="P7" s="11" t="n">
        <x:v>114</x:v>
      </x:c>
    </x:row>
    <x:row r="8">
      <x:c r="A8" s="11" t="n">
        <x:v>7</x:v>
      </x:c>
      <x:c r="B8" s="11" t="str">
        <x:v>2026-07-01</x:v>
      </x:c>
      <x:c r="C8" s="11" t="str">
        <x:v>L4</x:v>
      </x:c>
      <x:c r="D8" s="11" t="str">
        <x:v>Etiquetado</x:v>
      </x:c>
      <x:c r="E8" s="11" t="str">
        <x:v>Matutino</x:v>
      </x:c>
      <x:c r="F8" s="11" t="str">
        <x:v>P002</x:v>
      </x:c>
      <x:c r="G8" s="11" t="str">
        <x:v>Producto Beta</x:v>
      </x:c>
      <x:c r="H8" s="11" t="n">
        <x:v>480</x:v>
      </x:c>
      <x:c r="I8" s="11" t="n">
        <x:v>26</x:v>
      </x:c>
      <x:c r="J8" s="11" t="n">
        <x:v>0</x:v>
      </x:c>
      <x:c r="K8" s="11" t="n">
        <x:v>454</x:v>
      </x:c>
      <x:c r="L8" s="11" t="n">
        <x:v>10</x:v>
      </x:c>
      <x:c r="M8" s="11" t="n">
        <x:v>4086</x:v>
      </x:c>
      <x:c r="N8" s="11" t="n">
        <x:v>3906</x:v>
      </x:c>
      <x:c r="O8" s="11" t="n">
        <x:v>3664</x:v>
      </x:c>
      <x:c r="P8" s="11" t="n">
        <x:v>242</x:v>
      </x:c>
    </x:row>
    <x:row r="9">
      <x:c r="A9" s="11" t="n">
        <x:v>8</x:v>
      </x:c>
      <x:c r="B9" s="11" t="str">
        <x:v>2026-07-01</x:v>
      </x:c>
      <x:c r="C9" s="11" t="str">
        <x:v>L4</x:v>
      </x:c>
      <x:c r="D9" s="11" t="str">
        <x:v>Etiquetado</x:v>
      </x:c>
      <x:c r="E9" s="11" t="str">
        <x:v>Vespertino</x:v>
      </x:c>
      <x:c r="F9" s="11" t="str">
        <x:v>P002</x:v>
      </x:c>
      <x:c r="G9" s="11" t="str">
        <x:v>Producto Beta</x:v>
      </x:c>
      <x:c r="H9" s="11" t="n">
        <x:v>480</x:v>
      </x:c>
      <x:c r="I9" s="11" t="n">
        <x:v>17</x:v>
      </x:c>
      <x:c r="J9" s="11" t="n">
        <x:v>0</x:v>
      </x:c>
      <x:c r="K9" s="11" t="n">
        <x:v>463</x:v>
      </x:c>
      <x:c r="L9" s="11" t="n">
        <x:v>10</x:v>
      </x:c>
      <x:c r="M9" s="11" t="n">
        <x:v>4167</x:v>
      </x:c>
      <x:c r="N9" s="11" t="n">
        <x:v>3842</x:v>
      </x:c>
      <x:c r="O9" s="11" t="n">
        <x:v>3583</x:v>
      </x:c>
      <x:c r="P9" s="11" t="n">
        <x:v>259</x:v>
      </x:c>
    </x:row>
    <x:row r="10">
      <x:c r="A10" s="11" t="n">
        <x:v>9</x:v>
      </x:c>
      <x:c r="B10" s="11" t="str">
        <x:v>2026-07-02</x:v>
      </x:c>
      <x:c r="C10" s="11" t="str">
        <x:v>L1</x:v>
      </x:c>
      <x:c r="D10" s="11" t="str">
        <x:v>Envasado A</x:v>
      </x:c>
      <x:c r="E10" s="11" t="str">
        <x:v>Matutino</x:v>
      </x:c>
      <x:c r="F10" s="11" t="str">
        <x:v>P003</x:v>
      </x:c>
      <x:c r="G10" s="11" t="str">
        <x:v>Producto Gamma</x:v>
      </x:c>
      <x:c r="H10" s="11" t="n">
        <x:v>480</x:v>
      </x:c>
      <x:c r="I10" s="11" t="n">
        <x:v>26</x:v>
      </x:c>
      <x:c r="J10" s="11" t="n">
        <x:v>0</x:v>
      </x:c>
      <x:c r="K10" s="11" t="n">
        <x:v>454</x:v>
      </x:c>
      <x:c r="L10" s="11" t="n">
        <x:v>8</x:v>
      </x:c>
      <x:c r="M10" s="11" t="n">
        <x:v>3268</x:v>
      </x:c>
      <x:c r="N10" s="11" t="n">
        <x:v>3185</x:v>
      </x:c>
      <x:c r="O10" s="11" t="n">
        <x:v>3052</x:v>
      </x:c>
      <x:c r="P10" s="11" t="n">
        <x:v>133</x:v>
      </x:c>
    </x:row>
    <x:row r="11">
      <x:c r="A11" s="11" t="n">
        <x:v>10</x:v>
      </x:c>
      <x:c r="B11" s="11" t="str">
        <x:v>2026-07-02</x:v>
      </x:c>
      <x:c r="C11" s="11" t="str">
        <x:v>L1</x:v>
      </x:c>
      <x:c r="D11" s="11" t="str">
        <x:v>Envasado A</x:v>
      </x:c>
      <x:c r="E11" s="11" t="str">
        <x:v>Vespertino</x:v>
      </x:c>
      <x:c r="F11" s="11" t="str">
        <x:v>P002</x:v>
      </x:c>
      <x:c r="G11" s="11" t="str">
        <x:v>Producto Beta</x:v>
      </x:c>
      <x:c r="H11" s="11" t="n">
        <x:v>480</x:v>
      </x:c>
      <x:c r="I11" s="11" t="n">
        <x:v>17</x:v>
      </x:c>
      <x:c r="J11" s="11" t="n">
        <x:v>32</x:v>
      </x:c>
      <x:c r="K11" s="11" t="n">
        <x:v>431</x:v>
      </x:c>
      <x:c r="L11" s="11" t="n">
        <x:v>8</x:v>
      </x:c>
      <x:c r="M11" s="11" t="n">
        <x:v>3333</x:v>
      </x:c>
      <x:c r="N11" s="11" t="n">
        <x:v>3329</x:v>
      </x:c>
      <x:c r="O11" s="11" t="n">
        <x:v>3066</x:v>
      </x:c>
      <x:c r="P11" s="11" t="n">
        <x:v>263</x:v>
      </x:c>
    </x:row>
    <x:row r="12">
      <x:c r="A12" s="11" t="n">
        <x:v>11</x:v>
      </x:c>
      <x:c r="B12" s="11" t="str">
        <x:v>2026-07-02</x:v>
      </x:c>
      <x:c r="C12" s="11" t="str">
        <x:v>L2</x:v>
      </x:c>
      <x:c r="D12" s="11" t="str">
        <x:v>Envasado B</x:v>
      </x:c>
      <x:c r="E12" s="11" t="str">
        <x:v>Matutino</x:v>
      </x:c>
      <x:c r="F12" s="11" t="str">
        <x:v>P002</x:v>
      </x:c>
      <x:c r="G12" s="11" t="str">
        <x:v>Producto Beta</x:v>
      </x:c>
      <x:c r="H12" s="11" t="n">
        <x:v>480</x:v>
      </x:c>
      <x:c r="I12" s="11" t="n">
        <x:v>23</x:v>
      </x:c>
      <x:c r="J12" s="11" t="n">
        <x:v>0</x:v>
      </x:c>
      <x:c r="K12" s="11" t="n">
        <x:v>457</x:v>
      </x:c>
      <x:c r="L12" s="11" t="n">
        <x:v>7.5</x:v>
      </x:c>
      <x:c r="M12" s="11" t="n">
        <x:v>3084</x:v>
      </x:c>
      <x:c r="N12" s="11" t="n">
        <x:v>3203</x:v>
      </x:c>
      <x:c r="O12" s="11" t="n">
        <x:v>3029</x:v>
      </x:c>
      <x:c r="P12" s="11" t="n">
        <x:v>174</x:v>
      </x:c>
    </x:row>
    <x:row r="13">
      <x:c r="A13" s="11" t="n">
        <x:v>12</x:v>
      </x:c>
      <x:c r="B13" s="11" t="str">
        <x:v>2026-07-02</x:v>
      </x:c>
      <x:c r="C13" s="11" t="str">
        <x:v>L2</x:v>
      </x:c>
      <x:c r="D13" s="11" t="str">
        <x:v>Envasado B</x:v>
      </x:c>
      <x:c r="E13" s="11" t="str">
        <x:v>Vespertino</x:v>
      </x:c>
      <x:c r="F13" s="11" t="str">
        <x:v>P003</x:v>
      </x:c>
      <x:c r="G13" s="11" t="str">
        <x:v>Producto Gamma</x:v>
      </x:c>
      <x:c r="H13" s="11" t="n">
        <x:v>480</x:v>
      </x:c>
      <x:c r="I13" s="11" t="n">
        <x:v>23</x:v>
      </x:c>
      <x:c r="J13" s="11" t="n">
        <x:v>45</x:v>
      </x:c>
      <x:c r="K13" s="11" t="n">
        <x:v>412</x:v>
      </x:c>
      <x:c r="L13" s="11" t="n">
        <x:v>7.5</x:v>
      </x:c>
      <x:c r="M13" s="11" t="n">
        <x:v>3084</x:v>
      </x:c>
      <x:c r="N13" s="11" t="n">
        <x:v>2749</x:v>
      </x:c>
      <x:c r="O13" s="11" t="n">
        <x:v>2563</x:v>
      </x:c>
      <x:c r="P13" s="11" t="n">
        <x:v>186</x:v>
      </x:c>
    </x:row>
    <x:row r="14">
      <x:c r="A14" s="11" t="n">
        <x:v>13</x:v>
      </x:c>
      <x:c r="B14" s="11" t="str">
        <x:v>2026-07-02</x:v>
      </x:c>
      <x:c r="C14" s="11" t="str">
        <x:v>L3</x:v>
      </x:c>
      <x:c r="D14" s="11" t="str">
        <x:v>Empaque</x:v>
      </x:c>
      <x:c r="E14" s="11" t="str">
        <x:v>Matutino</x:v>
      </x:c>
      <x:c r="F14" s="11" t="str">
        <x:v>P001</x:v>
      </x:c>
      <x:c r="G14" s="11" t="str">
        <x:v>Producto Alfa</x:v>
      </x:c>
      <x:c r="H14" s="11" t="n">
        <x:v>480</x:v>
      </x:c>
      <x:c r="I14" s="11" t="n">
        <x:v>34</x:v>
      </x:c>
      <x:c r="J14" s="11" t="n">
        <x:v>10</x:v>
      </x:c>
      <x:c r="K14" s="11" t="n">
        <x:v>436</x:v>
      </x:c>
      <x:c r="L14" s="11" t="n">
        <x:v>8.67</x:v>
      </x:c>
      <x:c r="M14" s="11" t="n">
        <x:v>3478</x:v>
      </x:c>
      <x:c r="N14" s="11" t="n">
        <x:v>3280</x:v>
      </x:c>
      <x:c r="O14" s="11" t="n">
        <x:v>3150</x:v>
      </x:c>
      <x:c r="P14" s="11" t="n">
        <x:v>130</x:v>
      </x:c>
    </x:row>
    <x:row r="15">
      <x:c r="A15" s="11" t="n">
        <x:v>14</x:v>
      </x:c>
      <x:c r="B15" s="11" t="str">
        <x:v>2026-07-02</x:v>
      </x:c>
      <x:c r="C15" s="11" t="str">
        <x:v>L3</x:v>
      </x:c>
      <x:c r="D15" s="11" t="str">
        <x:v>Empaque</x:v>
      </x:c>
      <x:c r="E15" s="11" t="str">
        <x:v>Vespertino</x:v>
      </x:c>
      <x:c r="F15" s="11" t="str">
        <x:v>P002</x:v>
      </x:c>
      <x:c r="G15" s="11" t="str">
        <x:v>Producto Beta</x:v>
      </x:c>
      <x:c r="H15" s="11" t="n">
        <x:v>480</x:v>
      </x:c>
      <x:c r="I15" s="11" t="n">
        <x:v>35</x:v>
      </x:c>
      <x:c r="J15" s="11" t="n">
        <x:v>52</x:v>
      </x:c>
      <x:c r="K15" s="11" t="n">
        <x:v>393</x:v>
      </x:c>
      <x:c r="L15" s="11" t="n">
        <x:v>8.67</x:v>
      </x:c>
      <x:c r="M15" s="11" t="n">
        <x:v>3471</x:v>
      </x:c>
      <x:c r="N15" s="11" t="n">
        <x:v>3058</x:v>
      </x:c>
      <x:c r="O15" s="11" t="n">
        <x:v>2850</x:v>
      </x:c>
      <x:c r="P15" s="11" t="n">
        <x:v>208</x:v>
      </x:c>
    </x:row>
    <x:row r="16">
      <x:c r="A16" s="11" t="n">
        <x:v>15</x:v>
      </x:c>
      <x:c r="B16" s="11" t="str">
        <x:v>2026-07-02</x:v>
      </x:c>
      <x:c r="C16" s="11" t="str">
        <x:v>L4</x:v>
      </x:c>
      <x:c r="D16" s="11" t="str">
        <x:v>Etiquetado</x:v>
      </x:c>
      <x:c r="E16" s="11" t="str">
        <x:v>Matutino</x:v>
      </x:c>
      <x:c r="F16" s="11" t="str">
        <x:v>P002</x:v>
      </x:c>
      <x:c r="G16" s="11" t="str">
        <x:v>Producto Beta</x:v>
      </x:c>
      <x:c r="H16" s="11" t="n">
        <x:v>480</x:v>
      </x:c>
      <x:c r="I16" s="11" t="n">
        <x:v>16</x:v>
      </x:c>
      <x:c r="J16" s="11" t="n">
        <x:v>28</x:v>
      </x:c>
      <x:c r="K16" s="11" t="n">
        <x:v>436</x:v>
      </x:c>
      <x:c r="L16" s="11" t="n">
        <x:v>10</x:v>
      </x:c>
      <x:c r="M16" s="11" t="n">
        <x:v>4176</x:v>
      </x:c>
      <x:c r="N16" s="11" t="n">
        <x:v>4017</x:v>
      </x:c>
      <x:c r="O16" s="11" t="n">
        <x:v>3760</x:v>
      </x:c>
      <x:c r="P16" s="11" t="n">
        <x:v>257</x:v>
      </x:c>
    </x:row>
    <x:row r="17">
      <x:c r="A17" s="11" t="n">
        <x:v>16</x:v>
      </x:c>
      <x:c r="B17" s="11" t="str">
        <x:v>2026-07-02</x:v>
      </x:c>
      <x:c r="C17" s="11" t="str">
        <x:v>L4</x:v>
      </x:c>
      <x:c r="D17" s="11" t="str">
        <x:v>Etiquetado</x:v>
      </x:c>
      <x:c r="E17" s="11" t="str">
        <x:v>Vespertino</x:v>
      </x:c>
      <x:c r="F17" s="11" t="str">
        <x:v>P001</x:v>
      </x:c>
      <x:c r="G17" s="11" t="str">
        <x:v>Producto Alfa</x:v>
      </x:c>
      <x:c r="H17" s="11" t="n">
        <x:v>480</x:v>
      </x:c>
      <x:c r="I17" s="11" t="n">
        <x:v>33</x:v>
      </x:c>
      <x:c r="J17" s="11" t="n">
        <x:v>43</x:v>
      </x:c>
      <x:c r="K17" s="11" t="n">
        <x:v>404</x:v>
      </x:c>
      <x:c r="L17" s="11" t="n">
        <x:v>10</x:v>
      </x:c>
      <x:c r="M17" s="11" t="n">
        <x:v>4023</x:v>
      </x:c>
      <x:c r="N17" s="11" t="n">
        <x:v>3789</x:v>
      </x:c>
      <x:c r="O17" s="11" t="n">
        <x:v>3609</x:v>
      </x:c>
      <x:c r="P17" s="11" t="n">
        <x:v>180</x:v>
      </x:c>
    </x:row>
    <x:row r="18">
      <x:c r="A18" s="11" t="n">
        <x:v>17</x:v>
      </x:c>
      <x:c r="B18" s="11" t="str">
        <x:v>2026-07-03</x:v>
      </x:c>
      <x:c r="C18" s="11" t="str">
        <x:v>L1</x:v>
      </x:c>
      <x:c r="D18" s="11" t="str">
        <x:v>Envasado A</x:v>
      </x:c>
      <x:c r="E18" s="11" t="str">
        <x:v>Matutino</x:v>
      </x:c>
      <x:c r="F18" s="11" t="str">
        <x:v>P003</x:v>
      </x:c>
      <x:c r="G18" s="11" t="str">
        <x:v>Producto Gamma</x:v>
      </x:c>
      <x:c r="H18" s="11" t="n">
        <x:v>480</x:v>
      </x:c>
      <x:c r="I18" s="11" t="n">
        <x:v>30</x:v>
      </x:c>
      <x:c r="J18" s="11" t="n">
        <x:v>0</x:v>
      </x:c>
      <x:c r="K18" s="11" t="n">
        <x:v>450</x:v>
      </x:c>
      <x:c r="L18" s="11" t="n">
        <x:v>8</x:v>
      </x:c>
      <x:c r="M18" s="11" t="n">
        <x:v>3240</x:v>
      </x:c>
      <x:c r="N18" s="11" t="n">
        <x:v>3495</x:v>
      </x:c>
      <x:c r="O18" s="11" t="n">
        <x:v>3288</x:v>
      </x:c>
      <x:c r="P18" s="11" t="n">
        <x:v>207</x:v>
      </x:c>
    </x:row>
    <x:row r="19">
      <x:c r="A19" s="11" t="n">
        <x:v>18</x:v>
      </x:c>
      <x:c r="B19" s="11" t="str">
        <x:v>2026-07-03</x:v>
      </x:c>
      <x:c r="C19" s="11" t="str">
        <x:v>L1</x:v>
      </x:c>
      <x:c r="D19" s="11" t="str">
        <x:v>Envasado A</x:v>
      </x:c>
      <x:c r="E19" s="11" t="str">
        <x:v>Vespertino</x:v>
      </x:c>
      <x:c r="F19" s="11" t="str">
        <x:v>P001</x:v>
      </x:c>
      <x:c r="G19" s="11" t="str">
        <x:v>Producto Alfa</x:v>
      </x:c>
      <x:c r="H19" s="11" t="n">
        <x:v>480</x:v>
      </x:c>
      <x:c r="I19" s="11" t="n">
        <x:v>32</x:v>
      </x:c>
      <x:c r="J19" s="11" t="n">
        <x:v>32</x:v>
      </x:c>
      <x:c r="K19" s="11" t="n">
        <x:v>416</x:v>
      </x:c>
      <x:c r="L19" s="11" t="n">
        <x:v>8</x:v>
      </x:c>
      <x:c r="M19" s="11" t="n">
        <x:v>3225</x:v>
      </x:c>
      <x:c r="N19" s="11" t="n">
        <x:v>2787</x:v>
      </x:c>
      <x:c r="O19" s="11" t="n">
        <x:v>2662</x:v>
      </x:c>
      <x:c r="P19" s="11" t="n">
        <x:v>125</x:v>
      </x:c>
    </x:row>
    <x:row r="20">
      <x:c r="A20" s="11" t="n">
        <x:v>19</x:v>
      </x:c>
      <x:c r="B20" s="11" t="str">
        <x:v>2026-07-03</x:v>
      </x:c>
      <x:c r="C20" s="11" t="str">
        <x:v>L2</x:v>
      </x:c>
      <x:c r="D20" s="11" t="str">
        <x:v>Envasado B</x:v>
      </x:c>
      <x:c r="E20" s="11" t="str">
        <x:v>Matutino</x:v>
      </x:c>
      <x:c r="F20" s="11" t="str">
        <x:v>P002</x:v>
      </x:c>
      <x:c r="G20" s="11" t="str">
        <x:v>Producto Beta</x:v>
      </x:c>
      <x:c r="H20" s="11" t="n">
        <x:v>480</x:v>
      </x:c>
      <x:c r="I20" s="11" t="n">
        <x:v>33</x:v>
      </x:c>
      <x:c r="J20" s="11" t="n">
        <x:v>15</x:v>
      </x:c>
      <x:c r="K20" s="11" t="n">
        <x:v>432</x:v>
      </x:c>
      <x:c r="L20" s="11" t="n">
        <x:v>7.5</x:v>
      </x:c>
      <x:c r="M20" s="11" t="n">
        <x:v>3017</x:v>
      </x:c>
      <x:c r="N20" s="11" t="n">
        <x:v>3009</x:v>
      </x:c>
      <x:c r="O20" s="11" t="n">
        <x:v>2871</x:v>
      </x:c>
      <x:c r="P20" s="11" t="n">
        <x:v>138</x:v>
      </x:c>
    </x:row>
    <x:row r="21">
      <x:c r="A21" s="11" t="n">
        <x:v>20</x:v>
      </x:c>
      <x:c r="B21" s="11" t="str">
        <x:v>2026-07-03</x:v>
      </x:c>
      <x:c r="C21" s="11" t="str">
        <x:v>L2</x:v>
      </x:c>
      <x:c r="D21" s="11" t="str">
        <x:v>Envasado B</x:v>
      </x:c>
      <x:c r="E21" s="11" t="str">
        <x:v>Vespertino</x:v>
      </x:c>
      <x:c r="F21" s="11" t="str">
        <x:v>P001</x:v>
      </x:c>
      <x:c r="G21" s="11" t="str">
        <x:v>Producto Alfa</x:v>
      </x:c>
      <x:c r="H21" s="11" t="n">
        <x:v>480</x:v>
      </x:c>
      <x:c r="I21" s="11" t="n">
        <x:v>16</x:v>
      </x:c>
      <x:c r="J21" s="11" t="n">
        <x:v>27</x:v>
      </x:c>
      <x:c r="K21" s="11" t="n">
        <x:v>437</x:v>
      </x:c>
      <x:c r="L21" s="11" t="n">
        <x:v>7.5</x:v>
      </x:c>
      <x:c r="M21" s="11" t="n">
        <x:v>3132</x:v>
      </x:c>
      <x:c r="N21" s="11" t="n">
        <x:v>3037</x:v>
      </x:c>
      <x:c r="O21" s="11" t="n">
        <x:v>2899</x:v>
      </x:c>
      <x:c r="P21" s="11" t="n">
        <x:v>138</x:v>
      </x:c>
    </x:row>
    <x:row r="22">
      <x:c r="A22" s="11" t="n">
        <x:v>21</x:v>
      </x:c>
      <x:c r="B22" s="11" t="str">
        <x:v>2026-07-03</x:v>
      </x:c>
      <x:c r="C22" s="11" t="str">
        <x:v>L3</x:v>
      </x:c>
      <x:c r="D22" s="11" t="str">
        <x:v>Empaque</x:v>
      </x:c>
      <x:c r="E22" s="11" t="str">
        <x:v>Matutino</x:v>
      </x:c>
      <x:c r="F22" s="11" t="str">
        <x:v>P001</x:v>
      </x:c>
      <x:c r="G22" s="11" t="str">
        <x:v>Producto Alfa</x:v>
      </x:c>
      <x:c r="H22" s="11" t="n">
        <x:v>480</x:v>
      </x:c>
      <x:c r="I22" s="11" t="n">
        <x:v>28</x:v>
      </x:c>
      <x:c r="J22" s="11" t="n">
        <x:v>10</x:v>
      </x:c>
      <x:c r="K22" s="11" t="n">
        <x:v>442</x:v>
      </x:c>
      <x:c r="L22" s="11" t="n">
        <x:v>8.67</x:v>
      </x:c>
      <x:c r="M22" s="11" t="n">
        <x:v>3525</x:v>
      </x:c>
      <x:c r="N22" s="11" t="n">
        <x:v>3389</x:v>
      </x:c>
      <x:c r="O22" s="11" t="n">
        <x:v>3215</x:v>
      </x:c>
      <x:c r="P22" s="11" t="n">
        <x:v>174</x:v>
      </x:c>
    </x:row>
    <x:row r="23">
      <x:c r="A23" s="11" t="n">
        <x:v>22</x:v>
      </x:c>
      <x:c r="B23" s="11" t="str">
        <x:v>2026-07-03</x:v>
      </x:c>
      <x:c r="C23" s="11" t="str">
        <x:v>L3</x:v>
      </x:c>
      <x:c r="D23" s="11" t="str">
        <x:v>Empaque</x:v>
      </x:c>
      <x:c r="E23" s="11" t="str">
        <x:v>Vespertino</x:v>
      </x:c>
      <x:c r="F23" s="11" t="str">
        <x:v>P002</x:v>
      </x:c>
      <x:c r="G23" s="11" t="str">
        <x:v>Producto Beta</x:v>
      </x:c>
      <x:c r="H23" s="11" t="n">
        <x:v>480</x:v>
      </x:c>
      <x:c r="I23" s="11" t="n">
        <x:v>32</x:v>
      </x:c>
      <x:c r="J23" s="11" t="n">
        <x:v>13</x:v>
      </x:c>
      <x:c r="K23" s="11" t="n">
        <x:v>435</x:v>
      </x:c>
      <x:c r="L23" s="11" t="n">
        <x:v>8.67</x:v>
      </x:c>
      <x:c r="M23" s="11" t="n">
        <x:v>3494</x:v>
      </x:c>
      <x:c r="N23" s="11" t="n">
        <x:v>3447</x:v>
      </x:c>
      <x:c r="O23" s="11" t="n">
        <x:v>3235</x:v>
      </x:c>
      <x:c r="P23" s="11" t="n">
        <x:v>212</x:v>
      </x:c>
    </x:row>
    <x:row r="24">
      <x:c r="A24" s="11" t="n">
        <x:v>23</x:v>
      </x:c>
      <x:c r="B24" s="11" t="str">
        <x:v>2026-07-03</x:v>
      </x:c>
      <x:c r="C24" s="11" t="str">
        <x:v>L4</x:v>
      </x:c>
      <x:c r="D24" s="11" t="str">
        <x:v>Etiquetado</x:v>
      </x:c>
      <x:c r="E24" s="11" t="str">
        <x:v>Matutino</x:v>
      </x:c>
      <x:c r="F24" s="11" t="str">
        <x:v>P003</x:v>
      </x:c>
      <x:c r="G24" s="11" t="str">
        <x:v>Producto Gamma</x:v>
      </x:c>
      <x:c r="H24" s="11" t="n">
        <x:v>480</x:v>
      </x:c>
      <x:c r="I24" s="11" t="n">
        <x:v>18</x:v>
      </x:c>
      <x:c r="J24" s="11" t="n">
        <x:v>16</x:v>
      </x:c>
      <x:c r="K24" s="11" t="n">
        <x:v>446</x:v>
      </x:c>
      <x:c r="L24" s="11" t="n">
        <x:v>10</x:v>
      </x:c>
      <x:c r="M24" s="11" t="n">
        <x:v>4158</x:v>
      </x:c>
      <x:c r="N24" s="11" t="n">
        <x:v>3832</x:v>
      </x:c>
      <x:c r="O24" s="11" t="n">
        <x:v>3633</x:v>
      </x:c>
      <x:c r="P24" s="11" t="n">
        <x:v>199</x:v>
      </x:c>
    </x:row>
    <x:row r="25">
      <x:c r="A25" s="11" t="n">
        <x:v>24</x:v>
      </x:c>
      <x:c r="B25" s="11" t="str">
        <x:v>2026-07-03</x:v>
      </x:c>
      <x:c r="C25" s="11" t="str">
        <x:v>L4</x:v>
      </x:c>
      <x:c r="D25" s="11" t="str">
        <x:v>Etiquetado</x:v>
      </x:c>
      <x:c r="E25" s="11" t="str">
        <x:v>Vespertino</x:v>
      </x:c>
      <x:c r="F25" s="11" t="str">
        <x:v>P001</x:v>
      </x:c>
      <x:c r="G25" s="11" t="str">
        <x:v>Producto Alfa</x:v>
      </x:c>
      <x:c r="H25" s="11" t="n">
        <x:v>480</x:v>
      </x:c>
      <x:c r="I25" s="11" t="n">
        <x:v>24</x:v>
      </x:c>
      <x:c r="J25" s="11" t="n">
        <x:v>59</x:v>
      </x:c>
      <x:c r="K25" s="11" t="n">
        <x:v>397</x:v>
      </x:c>
      <x:c r="L25" s="11" t="n">
        <x:v>10</x:v>
      </x:c>
      <x:c r="M25" s="11" t="n">
        <x:v>4104</x:v>
      </x:c>
      <x:c r="N25" s="11" t="n">
        <x:v>3432</x:v>
      </x:c>
      <x:c r="O25" s="11" t="n">
        <x:v>3312</x:v>
      </x:c>
      <x:c r="P25" s="11" t="n">
        <x:v>120</x:v>
      </x:c>
    </x:row>
    <x:row r="26">
      <x:c r="A26" s="11" t="n">
        <x:v>25</x:v>
      </x:c>
      <x:c r="B26" s="11" t="str">
        <x:v>2026-07-04</x:v>
      </x:c>
      <x:c r="C26" s="11" t="str">
        <x:v>L1</x:v>
      </x:c>
      <x:c r="D26" s="11" t="str">
        <x:v>Envasado A</x:v>
      </x:c>
      <x:c r="E26" s="11" t="str">
        <x:v>Matutino</x:v>
      </x:c>
      <x:c r="F26" s="11" t="str">
        <x:v>P003</x:v>
      </x:c>
      <x:c r="G26" s="11" t="str">
        <x:v>Producto Gamma</x:v>
      </x:c>
      <x:c r="H26" s="11" t="n">
        <x:v>480</x:v>
      </x:c>
      <x:c r="I26" s="11" t="n">
        <x:v>23</x:v>
      </x:c>
      <x:c r="J26" s="11" t="n">
        <x:v>64</x:v>
      </x:c>
      <x:c r="K26" s="11" t="n">
        <x:v>393</x:v>
      </x:c>
      <x:c r="L26" s="11" t="n">
        <x:v>8</x:v>
      </x:c>
      <x:c r="M26" s="11" t="n">
        <x:v>3290</x:v>
      </x:c>
      <x:c r="N26" s="11" t="n">
        <x:v>2818</x:v>
      </x:c>
      <x:c r="O26" s="11" t="n">
        <x:v>2661</x:v>
      </x:c>
      <x:c r="P26" s="11" t="n">
        <x:v>157</x:v>
      </x:c>
    </x:row>
    <x:row r="27">
      <x:c r="A27" s="11" t="n">
        <x:v>26</x:v>
      </x:c>
      <x:c r="B27" s="11" t="str">
        <x:v>2026-07-04</x:v>
      </x:c>
      <x:c r="C27" s="11" t="str">
        <x:v>L1</x:v>
      </x:c>
      <x:c r="D27" s="11" t="str">
        <x:v>Envasado A</x:v>
      </x:c>
      <x:c r="E27" s="11" t="str">
        <x:v>Vespertino</x:v>
      </x:c>
      <x:c r="F27" s="11" t="str">
        <x:v>P003</x:v>
      </x:c>
      <x:c r="G27" s="11" t="str">
        <x:v>Producto Gamma</x:v>
      </x:c>
      <x:c r="H27" s="11" t="n">
        <x:v>480</x:v>
      </x:c>
      <x:c r="I27" s="11" t="n">
        <x:v>24</x:v>
      </x:c>
      <x:c r="J27" s="11" t="n">
        <x:v>27</x:v>
      </x:c>
      <x:c r="K27" s="11" t="n">
        <x:v>429</x:v>
      </x:c>
      <x:c r="L27" s="11" t="n">
        <x:v>8</x:v>
      </x:c>
      <x:c r="M27" s="11" t="n">
        <x:v>3283</x:v>
      </x:c>
      <x:c r="N27" s="11" t="n">
        <x:v>3223</x:v>
      </x:c>
      <x:c r="O27" s="11" t="n">
        <x:v>3023</x:v>
      </x:c>
      <x:c r="P27" s="11" t="n">
        <x:v>200</x:v>
      </x:c>
    </x:row>
    <x:row r="28">
      <x:c r="A28" s="11" t="n">
        <x:v>27</x:v>
      </x:c>
      <x:c r="B28" s="11" t="str">
        <x:v>2026-07-04</x:v>
      </x:c>
      <x:c r="C28" s="11" t="str">
        <x:v>L2</x:v>
      </x:c>
      <x:c r="D28" s="11" t="str">
        <x:v>Envasado B</x:v>
      </x:c>
      <x:c r="E28" s="11" t="str">
        <x:v>Matutino</x:v>
      </x:c>
      <x:c r="F28" s="11" t="str">
        <x:v>P001</x:v>
      </x:c>
      <x:c r="G28" s="11" t="str">
        <x:v>Producto Alfa</x:v>
      </x:c>
      <x:c r="H28" s="11" t="n">
        <x:v>480</x:v>
      </x:c>
      <x:c r="I28" s="11" t="n">
        <x:v>19</x:v>
      </x:c>
      <x:c r="J28" s="11" t="n">
        <x:v>18</x:v>
      </x:c>
      <x:c r="K28" s="11" t="n">
        <x:v>443</x:v>
      </x:c>
      <x:c r="L28" s="11" t="n">
        <x:v>7.5</x:v>
      </x:c>
      <x:c r="M28" s="11" t="n">
        <x:v>3111</x:v>
      </x:c>
      <x:c r="N28" s="11" t="n">
        <x:v>3086</x:v>
      </x:c>
      <x:c r="O28" s="11" t="n">
        <x:v>3042</x:v>
      </x:c>
      <x:c r="P28" s="11" t="n">
        <x:v>44</x:v>
      </x:c>
    </x:row>
    <x:row r="29">
      <x:c r="A29" s="11" t="n">
        <x:v>28</x:v>
      </x:c>
      <x:c r="B29" s="11" t="str">
        <x:v>2026-07-04</x:v>
      </x:c>
      <x:c r="C29" s="11" t="str">
        <x:v>L2</x:v>
      </x:c>
      <x:c r="D29" s="11" t="str">
        <x:v>Envasado B</x:v>
      </x:c>
      <x:c r="E29" s="11" t="str">
        <x:v>Vespertino</x:v>
      </x:c>
      <x:c r="F29" s="11" t="str">
        <x:v>P001</x:v>
      </x:c>
      <x:c r="G29" s="11" t="str">
        <x:v>Producto Alfa</x:v>
      </x:c>
      <x:c r="H29" s="11" t="n">
        <x:v>480</x:v>
      </x:c>
      <x:c r="I29" s="11" t="n">
        <x:v>34</x:v>
      </x:c>
      <x:c r="J29" s="11" t="n">
        <x:v>13</x:v>
      </x:c>
      <x:c r="K29" s="11" t="n">
        <x:v>433</x:v>
      </x:c>
      <x:c r="L29" s="11" t="n">
        <x:v>7.5</x:v>
      </x:c>
      <x:c r="M29" s="11" t="n">
        <x:v>3010</x:v>
      </x:c>
      <x:c r="N29" s="11" t="n">
        <x:v>2942</x:v>
      </x:c>
      <x:c r="O29" s="11" t="n">
        <x:v>2830</x:v>
      </x:c>
      <x:c r="P29" s="11" t="n">
        <x:v>112</x:v>
      </x:c>
    </x:row>
    <x:row r="30">
      <x:c r="A30" s="11" t="n">
        <x:v>29</x:v>
      </x:c>
      <x:c r="B30" s="11" t="str">
        <x:v>2026-07-04</x:v>
      </x:c>
      <x:c r="C30" s="11" t="str">
        <x:v>L3</x:v>
      </x:c>
      <x:c r="D30" s="11" t="str">
        <x:v>Empaque</x:v>
      </x:c>
      <x:c r="E30" s="11" t="str">
        <x:v>Matutino</x:v>
      </x:c>
      <x:c r="F30" s="11" t="str">
        <x:v>P002</x:v>
      </x:c>
      <x:c r="G30" s="11" t="str">
        <x:v>Producto Beta</x:v>
      </x:c>
      <x:c r="H30" s="11" t="n">
        <x:v>480</x:v>
      </x:c>
      <x:c r="I30" s="11" t="n">
        <x:v>24</x:v>
      </x:c>
      <x:c r="J30" s="11" t="n">
        <x:v>29</x:v>
      </x:c>
      <x:c r="K30" s="11" t="n">
        <x:v>427</x:v>
      </x:c>
      <x:c r="L30" s="11" t="n">
        <x:v>8.67</x:v>
      </x:c>
      <x:c r="M30" s="11" t="n">
        <x:v>3556</x:v>
      </x:c>
      <x:c r="N30" s="11" t="n">
        <x:v>3490</x:v>
      </x:c>
      <x:c r="O30" s="11" t="n">
        <x:v>3265</x:v>
      </x:c>
      <x:c r="P30" s="11" t="n">
        <x:v>225</x:v>
      </x:c>
    </x:row>
    <x:row r="31">
      <x:c r="A31" s="11" t="n">
        <x:v>30</x:v>
      </x:c>
      <x:c r="B31" s="11" t="str">
        <x:v>2026-07-04</x:v>
      </x:c>
      <x:c r="C31" s="11" t="str">
        <x:v>L3</x:v>
      </x:c>
      <x:c r="D31" s="11" t="str">
        <x:v>Empaque</x:v>
      </x:c>
      <x:c r="E31" s="11" t="str">
        <x:v>Vespertino</x:v>
      </x:c>
      <x:c r="F31" s="11" t="str">
        <x:v>P003</x:v>
      </x:c>
      <x:c r="G31" s="11" t="str">
        <x:v>Producto Gamma</x:v>
      </x:c>
      <x:c r="H31" s="11" t="n">
        <x:v>480</x:v>
      </x:c>
      <x:c r="I31" s="11" t="n">
        <x:v>30</x:v>
      </x:c>
      <x:c r="J31" s="11" t="n">
        <x:v>24</x:v>
      </x:c>
      <x:c r="K31" s="11" t="n">
        <x:v>426</x:v>
      </x:c>
      <x:c r="L31" s="11" t="n">
        <x:v>8.67</x:v>
      </x:c>
      <x:c r="M31" s="11" t="n">
        <x:v>3509</x:v>
      </x:c>
      <x:c r="N31" s="11" t="n">
        <x:v>3544</x:v>
      </x:c>
      <x:c r="O31" s="11" t="n">
        <x:v>3259</x:v>
      </x:c>
      <x:c r="P31" s="11" t="n">
        <x:v>285</x:v>
      </x:c>
    </x:row>
    <x:row r="32">
      <x:c r="A32" s="11" t="n">
        <x:v>31</x:v>
      </x:c>
      <x:c r="B32" s="11" t="str">
        <x:v>2026-07-04</x:v>
      </x:c>
      <x:c r="C32" s="11" t="str">
        <x:v>L4</x:v>
      </x:c>
      <x:c r="D32" s="11" t="str">
        <x:v>Etiquetado</x:v>
      </x:c>
      <x:c r="E32" s="11" t="str">
        <x:v>Matutino</x:v>
      </x:c>
      <x:c r="F32" s="11" t="str">
        <x:v>P003</x:v>
      </x:c>
      <x:c r="G32" s="11" t="str">
        <x:v>Producto Gamma</x:v>
      </x:c>
      <x:c r="H32" s="11" t="n">
        <x:v>480</x:v>
      </x:c>
      <x:c r="I32" s="11" t="n">
        <x:v>19</x:v>
      </x:c>
      <x:c r="J32" s="11" t="n">
        <x:v>45</x:v>
      </x:c>
      <x:c r="K32" s="11" t="n">
        <x:v>416</x:v>
      </x:c>
      <x:c r="L32" s="11" t="n">
        <x:v>10</x:v>
      </x:c>
      <x:c r="M32" s="11" t="n">
        <x:v>4149</x:v>
      </x:c>
      <x:c r="N32" s="11" t="n">
        <x:v>3939</x:v>
      </x:c>
      <x:c r="O32" s="11" t="n">
        <x:v>3706</x:v>
      </x:c>
      <x:c r="P32" s="11" t="n">
        <x:v>233</x:v>
      </x:c>
    </x:row>
    <x:row r="33">
      <x:c r="A33" s="11" t="n">
        <x:v>32</x:v>
      </x:c>
      <x:c r="B33" s="11" t="str">
        <x:v>2026-07-04</x:v>
      </x:c>
      <x:c r="C33" s="11" t="str">
        <x:v>L4</x:v>
      </x:c>
      <x:c r="D33" s="11" t="str">
        <x:v>Etiquetado</x:v>
      </x:c>
      <x:c r="E33" s="11" t="str">
        <x:v>Vespertino</x:v>
      </x:c>
      <x:c r="F33" s="11" t="str">
        <x:v>P003</x:v>
      </x:c>
      <x:c r="G33" s="11" t="str">
        <x:v>Producto Gamma</x:v>
      </x:c>
      <x:c r="H33" s="11" t="n">
        <x:v>480</x:v>
      </x:c>
      <x:c r="I33" s="11" t="n">
        <x:v>28</x:v>
      </x:c>
      <x:c r="J33" s="11" t="n">
        <x:v>22</x:v>
      </x:c>
      <x:c r="K33" s="11" t="n">
        <x:v>430</x:v>
      </x:c>
      <x:c r="L33" s="11" t="n">
        <x:v>10</x:v>
      </x:c>
      <x:c r="M33" s="11" t="n">
        <x:v>4068</x:v>
      </x:c>
      <x:c r="N33" s="11" t="n">
        <x:v>4346</x:v>
      </x:c>
      <x:c r="O33" s="11" t="n">
        <x:v>4102</x:v>
      </x:c>
      <x:c r="P33" s="11" t="n">
        <x:v>244</x:v>
      </x:c>
    </x:row>
    <x:row r="34">
      <x:c r="A34" s="11" t="n">
        <x:v>33</x:v>
      </x:c>
      <x:c r="B34" s="11" t="str">
        <x:v>2026-07-05</x:v>
      </x:c>
      <x:c r="C34" s="11" t="str">
        <x:v>L1</x:v>
      </x:c>
      <x:c r="D34" s="11" t="str">
        <x:v>Envasado A</x:v>
      </x:c>
      <x:c r="E34" s="11" t="str">
        <x:v>Matutino</x:v>
      </x:c>
      <x:c r="F34" s="11" t="str">
        <x:v>P003</x:v>
      </x:c>
      <x:c r="G34" s="11" t="str">
        <x:v>Producto Gamma</x:v>
      </x:c>
      <x:c r="H34" s="11" t="n">
        <x:v>480</x:v>
      </x:c>
      <x:c r="I34" s="11" t="n">
        <x:v>21</x:v>
      </x:c>
      <x:c r="J34" s="11" t="n">
        <x:v>22</x:v>
      </x:c>
      <x:c r="K34" s="11" t="n">
        <x:v>437</x:v>
      </x:c>
      <x:c r="L34" s="11" t="n">
        <x:v>8</x:v>
      </x:c>
      <x:c r="M34" s="11" t="n">
        <x:v>3304</x:v>
      </x:c>
      <x:c r="N34" s="11" t="n">
        <x:v>3026</x:v>
      </x:c>
      <x:c r="O34" s="11" t="n">
        <x:v>2858</x:v>
      </x:c>
      <x:c r="P34" s="11" t="n">
        <x:v>168</x:v>
      </x:c>
    </x:row>
    <x:row r="35">
      <x:c r="A35" s="11" t="n">
        <x:v>34</x:v>
      </x:c>
      <x:c r="B35" s="11" t="str">
        <x:v>2026-07-05</x:v>
      </x:c>
      <x:c r="C35" s="11" t="str">
        <x:v>L1</x:v>
      </x:c>
      <x:c r="D35" s="11" t="str">
        <x:v>Envasado A</x:v>
      </x:c>
      <x:c r="E35" s="11" t="str">
        <x:v>Vespertino</x:v>
      </x:c>
      <x:c r="F35" s="11" t="str">
        <x:v>P003</x:v>
      </x:c>
      <x:c r="G35" s="11" t="str">
        <x:v>Producto Gamma</x:v>
      </x:c>
      <x:c r="H35" s="11" t="n">
        <x:v>480</x:v>
      </x:c>
      <x:c r="I35" s="11" t="n">
        <x:v>29</x:v>
      </x:c>
      <x:c r="J35" s="11" t="n">
        <x:v>9</x:v>
      </x:c>
      <x:c r="K35" s="11" t="n">
        <x:v>442</x:v>
      </x:c>
      <x:c r="L35" s="11" t="n">
        <x:v>8</x:v>
      </x:c>
      <x:c r="M35" s="11" t="n">
        <x:v>3247</x:v>
      </x:c>
      <x:c r="N35" s="11" t="n">
        <x:v>3300</x:v>
      </x:c>
      <x:c r="O35" s="11" t="n">
        <x:v>3154</x:v>
      </x:c>
      <x:c r="P35" s="11" t="n">
        <x:v>146</x:v>
      </x:c>
    </x:row>
    <x:row r="36">
      <x:c r="A36" s="11" t="n">
        <x:v>35</x:v>
      </x:c>
      <x:c r="B36" s="11" t="str">
        <x:v>2026-07-05</x:v>
      </x:c>
      <x:c r="C36" s="11" t="str">
        <x:v>L2</x:v>
      </x:c>
      <x:c r="D36" s="11" t="str">
        <x:v>Envasado B</x:v>
      </x:c>
      <x:c r="E36" s="11" t="str">
        <x:v>Matutino</x:v>
      </x:c>
      <x:c r="F36" s="11" t="str">
        <x:v>P002</x:v>
      </x:c>
      <x:c r="G36" s="11" t="str">
        <x:v>Producto Beta</x:v>
      </x:c>
      <x:c r="H36" s="11" t="n">
        <x:v>480</x:v>
      </x:c>
      <x:c r="I36" s="11" t="n">
        <x:v>15</x:v>
      </x:c>
      <x:c r="J36" s="11" t="n">
        <x:v>14</x:v>
      </x:c>
      <x:c r="K36" s="11" t="n">
        <x:v>451</x:v>
      </x:c>
      <x:c r="L36" s="11" t="n">
        <x:v>7.5</x:v>
      </x:c>
      <x:c r="M36" s="11" t="n">
        <x:v>3138</x:v>
      </x:c>
      <x:c r="N36" s="11" t="n">
        <x:v>3020</x:v>
      </x:c>
      <x:c r="O36" s="11" t="n">
        <x:v>2841</x:v>
      </x:c>
      <x:c r="P36" s="11" t="n">
        <x:v>179</x:v>
      </x:c>
    </x:row>
    <x:row r="37">
      <x:c r="A37" s="11" t="n">
        <x:v>36</x:v>
      </x:c>
      <x:c r="B37" s="11" t="str">
        <x:v>2026-07-05</x:v>
      </x:c>
      <x:c r="C37" s="11" t="str">
        <x:v>L2</x:v>
      </x:c>
      <x:c r="D37" s="11" t="str">
        <x:v>Envasado B</x:v>
      </x:c>
      <x:c r="E37" s="11" t="str">
        <x:v>Vespertino</x:v>
      </x:c>
      <x:c r="F37" s="11" t="str">
        <x:v>P003</x:v>
      </x:c>
      <x:c r="G37" s="11" t="str">
        <x:v>Producto Gamma</x:v>
      </x:c>
      <x:c r="H37" s="11" t="n">
        <x:v>480</x:v>
      </x:c>
      <x:c r="I37" s="11" t="n">
        <x:v>16</x:v>
      </x:c>
      <x:c r="J37" s="11" t="n">
        <x:v>36</x:v>
      </x:c>
      <x:c r="K37" s="11" t="n">
        <x:v>428</x:v>
      </x:c>
      <x:c r="L37" s="11" t="n">
        <x:v>7.5</x:v>
      </x:c>
      <x:c r="M37" s="11" t="n">
        <x:v>3132</x:v>
      </x:c>
      <x:c r="N37" s="11" t="n">
        <x:v>2962</x:v>
      </x:c>
      <x:c r="O37" s="11" t="n">
        <x:v>2890</x:v>
      </x:c>
      <x:c r="P37" s="11" t="n">
        <x:v>72</x:v>
      </x:c>
    </x:row>
    <x:row r="38">
      <x:c r="A38" s="11" t="n">
        <x:v>37</x:v>
      </x:c>
      <x:c r="B38" s="11" t="str">
        <x:v>2026-07-06</x:v>
      </x:c>
      <x:c r="C38" s="11" t="str">
        <x:v>L1</x:v>
      </x:c>
      <x:c r="D38" s="11" t="str">
        <x:v>Envasado A</x:v>
      </x:c>
      <x:c r="E38" s="11" t="str">
        <x:v>Matutino</x:v>
      </x:c>
      <x:c r="F38" s="11" t="str">
        <x:v>P002</x:v>
      </x:c>
      <x:c r="G38" s="11" t="str">
        <x:v>Producto Beta</x:v>
      </x:c>
      <x:c r="H38" s="11" t="n">
        <x:v>480</x:v>
      </x:c>
      <x:c r="I38" s="11" t="n">
        <x:v>17</x:v>
      </x:c>
      <x:c r="J38" s="11" t="n">
        <x:v>10</x:v>
      </x:c>
      <x:c r="K38" s="11" t="n">
        <x:v>453</x:v>
      </x:c>
      <x:c r="L38" s="11" t="n">
        <x:v>8</x:v>
      </x:c>
      <x:c r="M38" s="11" t="n">
        <x:v>3333</x:v>
      </x:c>
      <x:c r="N38" s="11" t="n">
        <x:v>3286</x:v>
      </x:c>
      <x:c r="O38" s="11" t="n">
        <x:v>3039</x:v>
      </x:c>
      <x:c r="P38" s="11" t="n">
        <x:v>247</x:v>
      </x:c>
    </x:row>
    <x:row r="39">
      <x:c r="A39" s="11" t="n">
        <x:v>38</x:v>
      </x:c>
      <x:c r="B39" s="11" t="str">
        <x:v>2026-07-06</x:v>
      </x:c>
      <x:c r="C39" s="11" t="str">
        <x:v>L1</x:v>
      </x:c>
      <x:c r="D39" s="11" t="str">
        <x:v>Envasado A</x:v>
      </x:c>
      <x:c r="E39" s="11" t="str">
        <x:v>Vespertino</x:v>
      </x:c>
      <x:c r="F39" s="11" t="str">
        <x:v>P003</x:v>
      </x:c>
      <x:c r="G39" s="11" t="str">
        <x:v>Producto Gamma</x:v>
      </x:c>
      <x:c r="H39" s="11" t="n">
        <x:v>480</x:v>
      </x:c>
      <x:c r="I39" s="11" t="n">
        <x:v>33</x:v>
      </x:c>
      <x:c r="J39" s="11" t="n">
        <x:v>30</x:v>
      </x:c>
      <x:c r="K39" s="11" t="n">
        <x:v>417</x:v>
      </x:c>
      <x:c r="L39" s="11" t="n">
        <x:v>8</x:v>
      </x:c>
      <x:c r="M39" s="11" t="n">
        <x:v>3218</x:v>
      </x:c>
      <x:c r="N39" s="11" t="n">
        <x:v>2936</x:v>
      </x:c>
      <x:c r="O39" s="11" t="n">
        <x:v>2777</x:v>
      </x:c>
      <x:c r="P39" s="11" t="n">
        <x:v>159</x:v>
      </x:c>
    </x:row>
    <x:row r="40">
      <x:c r="A40" s="11" t="n">
        <x:v>39</x:v>
      </x:c>
      <x:c r="B40" s="11" t="str">
        <x:v>2026-07-06</x:v>
      </x:c>
      <x:c r="C40" s="11" t="str">
        <x:v>L2</x:v>
      </x:c>
      <x:c r="D40" s="11" t="str">
        <x:v>Envasado B</x:v>
      </x:c>
      <x:c r="E40" s="11" t="str">
        <x:v>Matutino</x:v>
      </x:c>
      <x:c r="F40" s="11" t="str">
        <x:v>P002</x:v>
      </x:c>
      <x:c r="G40" s="11" t="str">
        <x:v>Producto Beta</x:v>
      </x:c>
      <x:c r="H40" s="11" t="n">
        <x:v>480</x:v>
      </x:c>
      <x:c r="I40" s="11" t="n">
        <x:v>28</x:v>
      </x:c>
      <x:c r="J40" s="11" t="n">
        <x:v>31</x:v>
      </x:c>
      <x:c r="K40" s="11" t="n">
        <x:v>421</x:v>
      </x:c>
      <x:c r="L40" s="11" t="n">
        <x:v>7.5</x:v>
      </x:c>
      <x:c r="M40" s="11" t="n">
        <x:v>3051</x:v>
      </x:c>
      <x:c r="N40" s="11" t="n">
        <x:v>2933</x:v>
      </x:c>
      <x:c r="O40" s="11" t="n">
        <x:v>2723</x:v>
      </x:c>
      <x:c r="P40" s="11" t="n">
        <x:v>210</x:v>
      </x:c>
    </x:row>
    <x:row r="41">
      <x:c r="A41" s="11" t="n">
        <x:v>40</x:v>
      </x:c>
      <x:c r="B41" s="11" t="str">
        <x:v>2026-07-06</x:v>
      </x:c>
      <x:c r="C41" s="11" t="str">
        <x:v>L2</x:v>
      </x:c>
      <x:c r="D41" s="11" t="str">
        <x:v>Envasado B</x:v>
      </x:c>
      <x:c r="E41" s="11" t="str">
        <x:v>Vespertino</x:v>
      </x:c>
      <x:c r="F41" s="11" t="str">
        <x:v>P002</x:v>
      </x:c>
      <x:c r="G41" s="11" t="str">
        <x:v>Producto Beta</x:v>
      </x:c>
      <x:c r="H41" s="11" t="n">
        <x:v>480</x:v>
      </x:c>
      <x:c r="I41" s="11" t="n">
        <x:v>16</x:v>
      </x:c>
      <x:c r="J41" s="11" t="n">
        <x:v>37</x:v>
      </x:c>
      <x:c r="K41" s="11" t="n">
        <x:v>427</x:v>
      </x:c>
      <x:c r="L41" s="11" t="n">
        <x:v>7.5</x:v>
      </x:c>
      <x:c r="M41" s="11" t="n">
        <x:v>3132</x:v>
      </x:c>
      <x:c r="N41" s="11" t="n">
        <x:v>2722</x:v>
      </x:c>
      <x:c r="O41" s="11" t="n">
        <x:v>2475</x:v>
      </x:c>
      <x:c r="P41" s="11" t="n">
        <x:v>247</x:v>
      </x:c>
    </x:row>
    <x:row r="42">
      <x:c r="A42" s="11" t="n">
        <x:v>41</x:v>
      </x:c>
      <x:c r="B42" s="11" t="str">
        <x:v>2026-07-06</x:v>
      </x:c>
      <x:c r="C42" s="11" t="str">
        <x:v>L3</x:v>
      </x:c>
      <x:c r="D42" s="11" t="str">
        <x:v>Empaque</x:v>
      </x:c>
      <x:c r="E42" s="11" t="str">
        <x:v>Matutino</x:v>
      </x:c>
      <x:c r="F42" s="11" t="str">
        <x:v>P001</x:v>
      </x:c>
      <x:c r="G42" s="11" t="str">
        <x:v>Producto Alfa</x:v>
      </x:c>
      <x:c r="H42" s="11" t="n">
        <x:v>480</x:v>
      </x:c>
      <x:c r="I42" s="11" t="n">
        <x:v>16</x:v>
      </x:c>
      <x:c r="J42" s="11" t="n">
        <x:v>11</x:v>
      </x:c>
      <x:c r="K42" s="11" t="n">
        <x:v>453</x:v>
      </x:c>
      <x:c r="L42" s="11" t="n">
        <x:v>8.67</x:v>
      </x:c>
      <x:c r="M42" s="11" t="n">
        <x:v>3619</x:v>
      </x:c>
      <x:c r="N42" s="11" t="n">
        <x:v>3665</x:v>
      </x:c>
      <x:c r="O42" s="11" t="n">
        <x:v>3539</x:v>
      </x:c>
      <x:c r="P42" s="11" t="n">
        <x:v>126</x:v>
      </x:c>
    </x:row>
    <x:row r="43">
      <x:c r="A43" s="11" t="n">
        <x:v>42</x:v>
      </x:c>
      <x:c r="B43" s="11" t="str">
        <x:v>2026-07-06</x:v>
      </x:c>
      <x:c r="C43" s="11" t="str">
        <x:v>L3</x:v>
      </x:c>
      <x:c r="D43" s="11" t="str">
        <x:v>Empaque</x:v>
      </x:c>
      <x:c r="E43" s="11" t="str">
        <x:v>Vespertino</x:v>
      </x:c>
      <x:c r="F43" s="11" t="str">
        <x:v>P001</x:v>
      </x:c>
      <x:c r="G43" s="11" t="str">
        <x:v>Producto Alfa</x:v>
      </x:c>
      <x:c r="H43" s="11" t="n">
        <x:v>480</x:v>
      </x:c>
      <x:c r="I43" s="11" t="n">
        <x:v>32</x:v>
      </x:c>
      <x:c r="J43" s="11" t="n">
        <x:v>15</x:v>
      </x:c>
      <x:c r="K43" s="11" t="n">
        <x:v>433</x:v>
      </x:c>
      <x:c r="L43" s="11" t="n">
        <x:v>8.67</x:v>
      </x:c>
      <x:c r="M43" s="11" t="n">
        <x:v>3494</x:v>
      </x:c>
      <x:c r="N43" s="11" t="n">
        <x:v>3247</x:v>
      </x:c>
      <x:c r="O43" s="11" t="n">
        <x:v>3130</x:v>
      </x:c>
      <x:c r="P43" s="11" t="n">
        <x:v>117</x:v>
      </x:c>
    </x:row>
    <x:row r="44">
      <x:c r="A44" s="11" t="n">
        <x:v>43</x:v>
      </x:c>
      <x:c r="B44" s="11" t="str">
        <x:v>2026-07-06</x:v>
      </x:c>
      <x:c r="C44" s="11" t="str">
        <x:v>L4</x:v>
      </x:c>
      <x:c r="D44" s="11" t="str">
        <x:v>Etiquetado</x:v>
      </x:c>
      <x:c r="E44" s="11" t="str">
        <x:v>Matutino</x:v>
      </x:c>
      <x:c r="F44" s="11" t="str">
        <x:v>P002</x:v>
      </x:c>
      <x:c r="G44" s="11" t="str">
        <x:v>Producto Beta</x:v>
      </x:c>
      <x:c r="H44" s="11" t="n">
        <x:v>480</x:v>
      </x:c>
      <x:c r="I44" s="11" t="n">
        <x:v>29</x:v>
      </x:c>
      <x:c r="J44" s="11" t="n">
        <x:v>28</x:v>
      </x:c>
      <x:c r="K44" s="11" t="n">
        <x:v>423</x:v>
      </x:c>
      <x:c r="L44" s="11" t="n">
        <x:v>10</x:v>
      </x:c>
      <x:c r="M44" s="11" t="n">
        <x:v>4059</x:v>
      </x:c>
      <x:c r="N44" s="11" t="n">
        <x:v>4280</x:v>
      </x:c>
      <x:c r="O44" s="11" t="n">
        <x:v>3927</x:v>
      </x:c>
      <x:c r="P44" s="11" t="n">
        <x:v>353</x:v>
      </x:c>
    </x:row>
    <x:row r="45">
      <x:c r="A45" s="11" t="n">
        <x:v>44</x:v>
      </x:c>
      <x:c r="B45" s="11" t="str">
        <x:v>2026-07-06</x:v>
      </x:c>
      <x:c r="C45" s="11" t="str">
        <x:v>L4</x:v>
      </x:c>
      <x:c r="D45" s="11" t="str">
        <x:v>Etiquetado</x:v>
      </x:c>
      <x:c r="E45" s="11" t="str">
        <x:v>Vespertino</x:v>
      </x:c>
      <x:c r="F45" s="11" t="str">
        <x:v>P003</x:v>
      </x:c>
      <x:c r="G45" s="11" t="str">
        <x:v>Producto Gamma</x:v>
      </x:c>
      <x:c r="H45" s="11" t="n">
        <x:v>480</x:v>
      </x:c>
      <x:c r="I45" s="11" t="n">
        <x:v>18</x:v>
      </x:c>
      <x:c r="J45" s="11" t="n">
        <x:v>43</x:v>
      </x:c>
      <x:c r="K45" s="11" t="n">
        <x:v>419</x:v>
      </x:c>
      <x:c r="L45" s="11" t="n">
        <x:v>10</x:v>
      </x:c>
      <x:c r="M45" s="11" t="n">
        <x:v>4158</x:v>
      </x:c>
      <x:c r="N45" s="11" t="n">
        <x:v>4399</x:v>
      </x:c>
      <x:c r="O45" s="11" t="n">
        <x:v>4241</x:v>
      </x:c>
      <x:c r="P45" s="11" t="n">
        <x:v>158</x:v>
      </x:c>
    </x:row>
    <x:row r="46">
      <x:c r="A46" s="11" t="n">
        <x:v>45</x:v>
      </x:c>
      <x:c r="B46" s="11" t="str">
        <x:v>2026-07-07</x:v>
      </x:c>
      <x:c r="C46" s="11" t="str">
        <x:v>L1</x:v>
      </x:c>
      <x:c r="D46" s="11" t="str">
        <x:v>Envasado A</x:v>
      </x:c>
      <x:c r="E46" s="11" t="str">
        <x:v>Matutino</x:v>
      </x:c>
      <x:c r="F46" s="11" t="str">
        <x:v>P001</x:v>
      </x:c>
      <x:c r="G46" s="11" t="str">
        <x:v>Producto Alfa</x:v>
      </x:c>
      <x:c r="H46" s="11" t="n">
        <x:v>480</x:v>
      </x:c>
      <x:c r="I46" s="11" t="n">
        <x:v>17</x:v>
      </x:c>
      <x:c r="J46" s="11" t="n">
        <x:v>66</x:v>
      </x:c>
      <x:c r="K46" s="11" t="n">
        <x:v>397</x:v>
      </x:c>
      <x:c r="L46" s="11" t="n">
        <x:v>8</x:v>
      </x:c>
      <x:c r="M46" s="11" t="n">
        <x:v>3333</x:v>
      </x:c>
      <x:c r="N46" s="11" t="n">
        <x:v>2766</x:v>
      </x:c>
      <x:c r="O46" s="11" t="n">
        <x:v>2674</x:v>
      </x:c>
      <x:c r="P46" s="11" t="n">
        <x:v>92</x:v>
      </x:c>
    </x:row>
    <x:row r="47">
      <x:c r="A47" s="11" t="n">
        <x:v>46</x:v>
      </x:c>
      <x:c r="B47" s="11" t="str">
        <x:v>2026-07-07</x:v>
      </x:c>
      <x:c r="C47" s="11" t="str">
        <x:v>L1</x:v>
      </x:c>
      <x:c r="D47" s="11" t="str">
        <x:v>Envasado A</x:v>
      </x:c>
      <x:c r="E47" s="11" t="str">
        <x:v>Vespertino</x:v>
      </x:c>
      <x:c r="F47" s="11" t="str">
        <x:v>P001</x:v>
      </x:c>
      <x:c r="G47" s="11" t="str">
        <x:v>Producto Alfa</x:v>
      </x:c>
      <x:c r="H47" s="11" t="n">
        <x:v>480</x:v>
      </x:c>
      <x:c r="I47" s="11" t="n">
        <x:v>27</x:v>
      </x:c>
      <x:c r="J47" s="11" t="n">
        <x:v>49</x:v>
      </x:c>
      <x:c r="K47" s="11" t="n">
        <x:v>404</x:v>
      </x:c>
      <x:c r="L47" s="11" t="n">
        <x:v>8</x:v>
      </x:c>
      <x:c r="M47" s="11" t="n">
        <x:v>3261</x:v>
      </x:c>
      <x:c r="N47" s="11" t="n">
        <x:v>3012</x:v>
      </x:c>
      <x:c r="O47" s="11" t="n">
        <x:v>2879</x:v>
      </x:c>
      <x:c r="P47" s="11" t="n">
        <x:v>133</x:v>
      </x:c>
    </x:row>
    <x:row r="48">
      <x:c r="A48" s="11" t="n">
        <x:v>47</x:v>
      </x:c>
      <x:c r="B48" s="11" t="str">
        <x:v>2026-07-07</x:v>
      </x:c>
      <x:c r="C48" s="11" t="str">
        <x:v>L2</x:v>
      </x:c>
      <x:c r="D48" s="11" t="str">
        <x:v>Envasado B</x:v>
      </x:c>
      <x:c r="E48" s="11" t="str">
        <x:v>Matutino</x:v>
      </x:c>
      <x:c r="F48" s="11" t="str">
        <x:v>P001</x:v>
      </x:c>
      <x:c r="G48" s="11" t="str">
        <x:v>Producto Alfa</x:v>
      </x:c>
      <x:c r="H48" s="11" t="n">
        <x:v>480</x:v>
      </x:c>
      <x:c r="I48" s="11" t="n">
        <x:v>27</x:v>
      </x:c>
      <x:c r="J48" s="11" t="n">
        <x:v>24</x:v>
      </x:c>
      <x:c r="K48" s="11" t="n">
        <x:v>429</x:v>
      </x:c>
      <x:c r="L48" s="11" t="n">
        <x:v>7.5</x:v>
      </x:c>
      <x:c r="M48" s="11" t="n">
        <x:v>3057</x:v>
      </x:c>
      <x:c r="N48" s="11" t="n">
        <x:v>3180</x:v>
      </x:c>
      <x:c r="O48" s="11" t="n">
        <x:v>3014</x:v>
      </x:c>
      <x:c r="P48" s="11" t="n">
        <x:v>166</x:v>
      </x:c>
    </x:row>
    <x:row r="49">
      <x:c r="A49" s="11" t="n">
        <x:v>48</x:v>
      </x:c>
      <x:c r="B49" s="11" t="str">
        <x:v>2026-07-07</x:v>
      </x:c>
      <x:c r="C49" s="11" t="str">
        <x:v>L2</x:v>
      </x:c>
      <x:c r="D49" s="11" t="str">
        <x:v>Envasado B</x:v>
      </x:c>
      <x:c r="E49" s="11" t="str">
        <x:v>Vespertino</x:v>
      </x:c>
      <x:c r="F49" s="11" t="str">
        <x:v>P003</x:v>
      </x:c>
      <x:c r="G49" s="11" t="str">
        <x:v>Producto Gamma</x:v>
      </x:c>
      <x:c r="H49" s="11" t="n">
        <x:v>480</x:v>
      </x:c>
      <x:c r="I49" s="11" t="n">
        <x:v>32</x:v>
      </x:c>
      <x:c r="J49" s="11" t="n">
        <x:v>34</x:v>
      </x:c>
      <x:c r="K49" s="11" t="n">
        <x:v>414</x:v>
      </x:c>
      <x:c r="L49" s="11" t="n">
        <x:v>7.5</x:v>
      </x:c>
      <x:c r="M49" s="11" t="n">
        <x:v>3024</x:v>
      </x:c>
      <x:c r="N49" s="11" t="n">
        <x:v>2740</x:v>
      </x:c>
      <x:c r="O49" s="11" t="n">
        <x:v>2570</x:v>
      </x:c>
      <x:c r="P49" s="11" t="n">
        <x:v>170</x:v>
      </x:c>
    </x:row>
    <x:row r="50">
      <x:c r="A50" s="11" t="n">
        <x:v>49</x:v>
      </x:c>
      <x:c r="B50" s="11" t="str">
        <x:v>2026-07-07</x:v>
      </x:c>
      <x:c r="C50" s="11" t="str">
        <x:v>L3</x:v>
      </x:c>
      <x:c r="D50" s="11" t="str">
        <x:v>Empaque</x:v>
      </x:c>
      <x:c r="E50" s="11" t="str">
        <x:v>Matutino</x:v>
      </x:c>
      <x:c r="F50" s="11" t="str">
        <x:v>P001</x:v>
      </x:c>
      <x:c r="G50" s="11" t="str">
        <x:v>Producto Alfa</x:v>
      </x:c>
      <x:c r="H50" s="11" t="n">
        <x:v>480</x:v>
      </x:c>
      <x:c r="I50" s="11" t="n">
        <x:v>24</x:v>
      </x:c>
      <x:c r="J50" s="11" t="n">
        <x:v>29</x:v>
      </x:c>
      <x:c r="K50" s="11" t="n">
        <x:v>427</x:v>
      </x:c>
      <x:c r="L50" s="11" t="n">
        <x:v>8.67</x:v>
      </x:c>
      <x:c r="M50" s="11" t="n">
        <x:v>3556</x:v>
      </x:c>
      <x:c r="N50" s="11" t="n">
        <x:v>3424</x:v>
      </x:c>
      <x:c r="O50" s="11" t="n">
        <x:v>3285</x:v>
      </x:c>
      <x:c r="P50" s="11" t="n">
        <x:v>139</x:v>
      </x:c>
    </x:row>
    <x:row r="51">
      <x:c r="A51" s="11" t="n">
        <x:v>50</x:v>
      </x:c>
      <x:c r="B51" s="11" t="str">
        <x:v>2026-07-07</x:v>
      </x:c>
      <x:c r="C51" s="11" t="str">
        <x:v>L3</x:v>
      </x:c>
      <x:c r="D51" s="11" t="str">
        <x:v>Empaque</x:v>
      </x:c>
      <x:c r="E51" s="11" t="str">
        <x:v>Vespertino</x:v>
      </x:c>
      <x:c r="F51" s="11" t="str">
        <x:v>P002</x:v>
      </x:c>
      <x:c r="G51" s="11" t="str">
        <x:v>Producto Beta</x:v>
      </x:c>
      <x:c r="H51" s="11" t="n">
        <x:v>480</x:v>
      </x:c>
      <x:c r="I51" s="11" t="n">
        <x:v>16</x:v>
      </x:c>
      <x:c r="J51" s="11" t="n">
        <x:v>20</x:v>
      </x:c>
      <x:c r="K51" s="11" t="n">
        <x:v>444</x:v>
      </x:c>
      <x:c r="L51" s="11" t="n">
        <x:v>8.67</x:v>
      </x:c>
      <x:c r="M51" s="11" t="n">
        <x:v>3619</x:v>
      </x:c>
      <x:c r="N51" s="11" t="n">
        <x:v>3689</x:v>
      </x:c>
      <x:c r="O51" s="11" t="n">
        <x:v>3483</x:v>
      </x:c>
      <x:c r="P51" s="11" t="n">
        <x:v>206</x:v>
      </x:c>
    </x:row>
    <x:row r="52">
      <x:c r="A52" s="11" t="n">
        <x:v>51</x:v>
      </x:c>
      <x:c r="B52" s="11" t="str">
        <x:v>2026-07-07</x:v>
      </x:c>
      <x:c r="C52" s="11" t="str">
        <x:v>L4</x:v>
      </x:c>
      <x:c r="D52" s="11" t="str">
        <x:v>Etiquetado</x:v>
      </x:c>
      <x:c r="E52" s="11" t="str">
        <x:v>Matutino</x:v>
      </x:c>
      <x:c r="F52" s="11" t="str">
        <x:v>P003</x:v>
      </x:c>
      <x:c r="G52" s="11" t="str">
        <x:v>Producto Gamma</x:v>
      </x:c>
      <x:c r="H52" s="11" t="n">
        <x:v>480</x:v>
      </x:c>
      <x:c r="I52" s="11" t="n">
        <x:v>20</x:v>
      </x:c>
      <x:c r="J52" s="11" t="n">
        <x:v>52</x:v>
      </x:c>
      <x:c r="K52" s="11" t="n">
        <x:v>408</x:v>
      </x:c>
      <x:c r="L52" s="11" t="n">
        <x:v>10</x:v>
      </x:c>
      <x:c r="M52" s="11" t="n">
        <x:v>4140</x:v>
      </x:c>
      <x:c r="N52" s="11" t="n">
        <x:v>3789</x:v>
      </x:c>
      <x:c r="O52" s="11" t="n">
        <x:v>3609</x:v>
      </x:c>
      <x:c r="P52" s="11" t="n">
        <x:v>180</x:v>
      </x:c>
    </x:row>
    <x:row r="53">
      <x:c r="A53" s="11" t="n">
        <x:v>52</x:v>
      </x:c>
      <x:c r="B53" s="11" t="str">
        <x:v>2026-07-07</x:v>
      </x:c>
      <x:c r="C53" s="11" t="str">
        <x:v>L4</x:v>
      </x:c>
      <x:c r="D53" s="11" t="str">
        <x:v>Etiquetado</x:v>
      </x:c>
      <x:c r="E53" s="11" t="str">
        <x:v>Vespertino</x:v>
      </x:c>
      <x:c r="F53" s="11" t="str">
        <x:v>P001</x:v>
      </x:c>
      <x:c r="G53" s="11" t="str">
        <x:v>Producto Alfa</x:v>
      </x:c>
      <x:c r="H53" s="11" t="n">
        <x:v>480</x:v>
      </x:c>
      <x:c r="I53" s="11" t="n">
        <x:v>22</x:v>
      </x:c>
      <x:c r="J53" s="11" t="n">
        <x:v>21</x:v>
      </x:c>
      <x:c r="K53" s="11" t="n">
        <x:v>437</x:v>
      </x:c>
      <x:c r="L53" s="11" t="n">
        <x:v>10</x:v>
      </x:c>
      <x:c r="M53" s="11" t="n">
        <x:v>4122</x:v>
      </x:c>
      <x:c r="N53" s="11" t="n">
        <x:v>3591</x:v>
      </x:c>
      <x:c r="O53" s="11" t="n">
        <x:v>3505</x:v>
      </x:c>
      <x:c r="P53" s="11" t="n">
        <x:v>86</x:v>
      </x:c>
    </x:row>
    <x:row r="54">
      <x:c r="A54" s="11" t="n">
        <x:v>53</x:v>
      </x:c>
      <x:c r="B54" s="11" t="str">
        <x:v>2026-07-08</x:v>
      </x:c>
      <x:c r="C54" s="11" t="str">
        <x:v>L1</x:v>
      </x:c>
      <x:c r="D54" s="11" t="str">
        <x:v>Envasado A</x:v>
      </x:c>
      <x:c r="E54" s="11" t="str">
        <x:v>Matutino</x:v>
      </x:c>
      <x:c r="F54" s="11" t="str">
        <x:v>P003</x:v>
      </x:c>
      <x:c r="G54" s="11" t="str">
        <x:v>Producto Gamma</x:v>
      </x:c>
      <x:c r="H54" s="11" t="n">
        <x:v>480</x:v>
      </x:c>
      <x:c r="I54" s="11" t="n">
        <x:v>22</x:v>
      </x:c>
      <x:c r="J54" s="11" t="n">
        <x:v>22</x:v>
      </x:c>
      <x:c r="K54" s="11" t="n">
        <x:v>436</x:v>
      </x:c>
      <x:c r="L54" s="11" t="n">
        <x:v>8</x:v>
      </x:c>
      <x:c r="M54" s="11" t="n">
        <x:v>3297</x:v>
      </x:c>
      <x:c r="N54" s="11" t="n">
        <x:v>3152</x:v>
      </x:c>
      <x:c r="O54" s="11" t="n">
        <x:v>3042</x:v>
      </x:c>
      <x:c r="P54" s="11" t="n">
        <x:v>110</x:v>
      </x:c>
    </x:row>
    <x:row r="55">
      <x:c r="A55" s="11" t="n">
        <x:v>54</x:v>
      </x:c>
      <x:c r="B55" s="11" t="str">
        <x:v>2026-07-08</x:v>
      </x:c>
      <x:c r="C55" s="11" t="str">
        <x:v>L1</x:v>
      </x:c>
      <x:c r="D55" s="11" t="str">
        <x:v>Envasado A</x:v>
      </x:c>
      <x:c r="E55" s="11" t="str">
        <x:v>Vespertino</x:v>
      </x:c>
      <x:c r="F55" s="11" t="str">
        <x:v>P003</x:v>
      </x:c>
      <x:c r="G55" s="11" t="str">
        <x:v>Producto Gamma</x:v>
      </x:c>
      <x:c r="H55" s="11" t="n">
        <x:v>480</x:v>
      </x:c>
      <x:c r="I55" s="11" t="n">
        <x:v>31</x:v>
      </x:c>
      <x:c r="J55" s="11" t="n">
        <x:v>43</x:v>
      </x:c>
      <x:c r="K55" s="11" t="n">
        <x:v>406</x:v>
      </x:c>
      <x:c r="L55" s="11" t="n">
        <x:v>8</x:v>
      </x:c>
      <x:c r="M55" s="11" t="n">
        <x:v>3232</x:v>
      </x:c>
      <x:c r="N55" s="11" t="n">
        <x:v>2909</x:v>
      </x:c>
      <x:c r="O55" s="11" t="n">
        <x:v>2788</x:v>
      </x:c>
      <x:c r="P55" s="11" t="n">
        <x:v>121</x:v>
      </x:c>
    </x:row>
    <x:row r="56">
      <x:c r="A56" s="11" t="n">
        <x:v>55</x:v>
      </x:c>
      <x:c r="B56" s="11" t="str">
        <x:v>2026-07-08</x:v>
      </x:c>
      <x:c r="C56" s="11" t="str">
        <x:v>L2</x:v>
      </x:c>
      <x:c r="D56" s="11" t="str">
        <x:v>Envasado B</x:v>
      </x:c>
      <x:c r="E56" s="11" t="str">
        <x:v>Matutino</x:v>
      </x:c>
      <x:c r="F56" s="11" t="str">
        <x:v>P003</x:v>
      </x:c>
      <x:c r="G56" s="11" t="str">
        <x:v>Producto Gamma</x:v>
      </x:c>
      <x:c r="H56" s="11" t="n">
        <x:v>480</x:v>
      </x:c>
      <x:c r="I56" s="11" t="n">
        <x:v>25</x:v>
      </x:c>
      <x:c r="J56" s="11" t="n">
        <x:v>29</x:v>
      </x:c>
      <x:c r="K56" s="11" t="n">
        <x:v>426</x:v>
      </x:c>
      <x:c r="L56" s="11" t="n">
        <x:v>7.5</x:v>
      </x:c>
      <x:c r="M56" s="11" t="n">
        <x:v>3071</x:v>
      </x:c>
      <x:c r="N56" s="11" t="n">
        <x:v>3051</x:v>
      </x:c>
      <x:c r="O56" s="11" t="n">
        <x:v>2883</x:v>
      </x:c>
      <x:c r="P56" s="11" t="n">
        <x:v>168</x:v>
      </x:c>
    </x:row>
    <x:row r="57">
      <x:c r="A57" s="11" t="n">
        <x:v>56</x:v>
      </x:c>
      <x:c r="B57" s="11" t="str">
        <x:v>2026-07-08</x:v>
      </x:c>
      <x:c r="C57" s="11" t="str">
        <x:v>L2</x:v>
      </x:c>
      <x:c r="D57" s="11" t="str">
        <x:v>Envasado B</x:v>
      </x:c>
      <x:c r="E57" s="11" t="str">
        <x:v>Vespertino</x:v>
      </x:c>
      <x:c r="F57" s="11" t="str">
        <x:v>P002</x:v>
      </x:c>
      <x:c r="G57" s="11" t="str">
        <x:v>Producto Beta</x:v>
      </x:c>
      <x:c r="H57" s="11" t="n">
        <x:v>480</x:v>
      </x:c>
      <x:c r="I57" s="11" t="n">
        <x:v>17</x:v>
      </x:c>
      <x:c r="J57" s="11" t="n">
        <x:v>11</x:v>
      </x:c>
      <x:c r="K57" s="11" t="n">
        <x:v>452</x:v>
      </x:c>
      <x:c r="L57" s="11" t="n">
        <x:v>7.5</x:v>
      </x:c>
      <x:c r="M57" s="11" t="n">
        <x:v>3125</x:v>
      </x:c>
      <x:c r="N57" s="11" t="n">
        <x:v>3297</x:v>
      </x:c>
      <x:c r="O57" s="11" t="n">
        <x:v>3102</x:v>
      </x:c>
      <x:c r="P57" s="11" t="n">
        <x:v>195</x:v>
      </x:c>
    </x:row>
    <x:row r="58">
      <x:c r="A58" s="11" t="n">
        <x:v>57</x:v>
      </x:c>
      <x:c r="B58" s="11" t="str">
        <x:v>2026-07-08</x:v>
      </x:c>
      <x:c r="C58" s="11" t="str">
        <x:v>L3</x:v>
      </x:c>
      <x:c r="D58" s="11" t="str">
        <x:v>Empaque</x:v>
      </x:c>
      <x:c r="E58" s="11" t="str">
        <x:v>Matutino</x:v>
      </x:c>
      <x:c r="F58" s="11" t="str">
        <x:v>P003</x:v>
      </x:c>
      <x:c r="G58" s="11" t="str">
        <x:v>Producto Gamma</x:v>
      </x:c>
      <x:c r="H58" s="11" t="n">
        <x:v>480</x:v>
      </x:c>
      <x:c r="I58" s="11" t="n">
        <x:v>18</x:v>
      </x:c>
      <x:c r="J58" s="11" t="n">
        <x:v>41</x:v>
      </x:c>
      <x:c r="K58" s="11" t="n">
        <x:v>421</x:v>
      </x:c>
      <x:c r="L58" s="11" t="n">
        <x:v>8.67</x:v>
      </x:c>
      <x:c r="M58" s="11" t="n">
        <x:v>3603</x:v>
      </x:c>
      <x:c r="N58" s="11" t="n">
        <x:v>3370</x:v>
      </x:c>
      <x:c r="O58" s="11" t="n">
        <x:v>3192</x:v>
      </x:c>
      <x:c r="P58" s="11" t="n">
        <x:v>178</x:v>
      </x:c>
    </x:row>
    <x:row r="59">
      <x:c r="A59" s="11" t="n">
        <x:v>58</x:v>
      </x:c>
      <x:c r="B59" s="11" t="str">
        <x:v>2026-07-08</x:v>
      </x:c>
      <x:c r="C59" s="11" t="str">
        <x:v>L3</x:v>
      </x:c>
      <x:c r="D59" s="11" t="str">
        <x:v>Empaque</x:v>
      </x:c>
      <x:c r="E59" s="11" t="str">
        <x:v>Vespertino</x:v>
      </x:c>
      <x:c r="F59" s="11" t="str">
        <x:v>P001</x:v>
      </x:c>
      <x:c r="G59" s="11" t="str">
        <x:v>Producto Alfa</x:v>
      </x:c>
      <x:c r="H59" s="11" t="n">
        <x:v>480</x:v>
      </x:c>
      <x:c r="I59" s="11" t="n">
        <x:v>22</x:v>
      </x:c>
      <x:c r="J59" s="11" t="n">
        <x:v>78</x:v>
      </x:c>
      <x:c r="K59" s="11" t="n">
        <x:v>380</x:v>
      </x:c>
      <x:c r="L59" s="11" t="n">
        <x:v>8.67</x:v>
      </x:c>
      <x:c r="M59" s="11" t="n">
        <x:v>3572</x:v>
      </x:c>
      <x:c r="N59" s="11" t="n">
        <x:v>2937</x:v>
      </x:c>
      <x:c r="O59" s="11" t="n">
        <x:v>2834</x:v>
      </x:c>
      <x:c r="P59" s="11" t="n">
        <x:v>103</x:v>
      </x:c>
    </x:row>
    <x:row r="60">
      <x:c r="A60" s="11" t="n">
        <x:v>59</x:v>
      </x:c>
      <x:c r="B60" s="11" t="str">
        <x:v>2026-07-08</x:v>
      </x:c>
      <x:c r="C60" s="11" t="str">
        <x:v>L4</x:v>
      </x:c>
      <x:c r="D60" s="11" t="str">
        <x:v>Etiquetado</x:v>
      </x:c>
      <x:c r="E60" s="11" t="str">
        <x:v>Matutino</x:v>
      </x:c>
      <x:c r="F60" s="11" t="str">
        <x:v>P003</x:v>
      </x:c>
      <x:c r="G60" s="11" t="str">
        <x:v>Producto Gamma</x:v>
      </x:c>
      <x:c r="H60" s="11" t="n">
        <x:v>480</x:v>
      </x:c>
      <x:c r="I60" s="11" t="n">
        <x:v>24</x:v>
      </x:c>
      <x:c r="J60" s="11" t="n">
        <x:v>0</x:v>
      </x:c>
      <x:c r="K60" s="11" t="n">
        <x:v>456</x:v>
      </x:c>
      <x:c r="L60" s="11" t="n">
        <x:v>10</x:v>
      </x:c>
      <x:c r="M60" s="11" t="n">
        <x:v>4104</x:v>
      </x:c>
      <x:c r="N60" s="11" t="n">
        <x:v>3758</x:v>
      </x:c>
      <x:c r="O60" s="11" t="n">
        <x:v>3566</x:v>
      </x:c>
      <x:c r="P60" s="11" t="n">
        <x:v>192</x:v>
      </x:c>
    </x:row>
    <x:row r="61">
      <x:c r="A61" s="11" t="n">
        <x:v>60</x:v>
      </x:c>
      <x:c r="B61" s="11" t="str">
        <x:v>2026-07-08</x:v>
      </x:c>
      <x:c r="C61" s="11" t="str">
        <x:v>L4</x:v>
      </x:c>
      <x:c r="D61" s="11" t="str">
        <x:v>Etiquetado</x:v>
      </x:c>
      <x:c r="E61" s="11" t="str">
        <x:v>Vespertino</x:v>
      </x:c>
      <x:c r="F61" s="11" t="str">
        <x:v>P003</x:v>
      </x:c>
      <x:c r="G61" s="11" t="str">
        <x:v>Producto Gamma</x:v>
      </x:c>
      <x:c r="H61" s="11" t="n">
        <x:v>480</x:v>
      </x:c>
      <x:c r="I61" s="11" t="n">
        <x:v>24</x:v>
      </x:c>
      <x:c r="J61" s="11" t="n">
        <x:v>25</x:v>
      </x:c>
      <x:c r="K61" s="11" t="n">
        <x:v>431</x:v>
      </x:c>
      <x:c r="L61" s="11" t="n">
        <x:v>10</x:v>
      </x:c>
      <x:c r="M61" s="11" t="n">
        <x:v>4104</x:v>
      </x:c>
      <x:c r="N61" s="11" t="n">
        <x:v>4004</x:v>
      </x:c>
      <x:c r="O61" s="11" t="n">
        <x:v>3794</x:v>
      </x:c>
      <x:c r="P61" s="11" t="n">
        <x:v>210</x:v>
      </x:c>
    </x:row>
    <x:row r="62">
      <x:c r="A62" s="11" t="n">
        <x:v>61</x:v>
      </x:c>
      <x:c r="B62" s="11" t="str">
        <x:v>2026-07-09</x:v>
      </x:c>
      <x:c r="C62" s="11" t="str">
        <x:v>L1</x:v>
      </x:c>
      <x:c r="D62" s="11" t="str">
        <x:v>Envasado A</x:v>
      </x:c>
      <x:c r="E62" s="11" t="str">
        <x:v>Matutino</x:v>
      </x:c>
      <x:c r="F62" s="11" t="str">
        <x:v>P001</x:v>
      </x:c>
      <x:c r="G62" s="11" t="str">
        <x:v>Producto Alfa</x:v>
      </x:c>
      <x:c r="H62" s="11" t="n">
        <x:v>480</x:v>
      </x:c>
      <x:c r="I62" s="11" t="n">
        <x:v>23</x:v>
      </x:c>
      <x:c r="J62" s="11" t="n">
        <x:v>35</x:v>
      </x:c>
      <x:c r="K62" s="11" t="n">
        <x:v>422</x:v>
      </x:c>
      <x:c r="L62" s="11" t="n">
        <x:v>8</x:v>
      </x:c>
      <x:c r="M62" s="11" t="n">
        <x:v>3290</x:v>
      </x:c>
      <x:c r="N62" s="11" t="n">
        <x:v>3120</x:v>
      </x:c>
      <x:c r="O62" s="11" t="n">
        <x:v>2966</x:v>
      </x:c>
      <x:c r="P62" s="11" t="n">
        <x:v>154</x:v>
      </x:c>
    </x:row>
    <x:row r="63">
      <x:c r="A63" s="11" t="n">
        <x:v>62</x:v>
      </x:c>
      <x:c r="B63" s="11" t="str">
        <x:v>2026-07-09</x:v>
      </x:c>
      <x:c r="C63" s="11" t="str">
        <x:v>L1</x:v>
      </x:c>
      <x:c r="D63" s="11" t="str">
        <x:v>Envasado A</x:v>
      </x:c>
      <x:c r="E63" s="11" t="str">
        <x:v>Vespertino</x:v>
      </x:c>
      <x:c r="F63" s="11" t="str">
        <x:v>P003</x:v>
      </x:c>
      <x:c r="G63" s="11" t="str">
        <x:v>Producto Gamma</x:v>
      </x:c>
      <x:c r="H63" s="11" t="n">
        <x:v>480</x:v>
      </x:c>
      <x:c r="I63" s="11" t="n">
        <x:v>21</x:v>
      </x:c>
      <x:c r="J63" s="11" t="n">
        <x:v>22</x:v>
      </x:c>
      <x:c r="K63" s="11" t="n">
        <x:v>437</x:v>
      </x:c>
      <x:c r="L63" s="11" t="n">
        <x:v>8</x:v>
      </x:c>
      <x:c r="M63" s="11" t="n">
        <x:v>3304</x:v>
      </x:c>
      <x:c r="N63" s="11" t="n">
        <x:v>3159</x:v>
      </x:c>
      <x:c r="O63" s="11" t="n">
        <x:v>2975</x:v>
      </x:c>
      <x:c r="P63" s="11" t="n">
        <x:v>184</x:v>
      </x:c>
    </x:row>
    <x:row r="64">
      <x:c r="A64" s="11" t="n">
        <x:v>63</x:v>
      </x:c>
      <x:c r="B64" s="11" t="str">
        <x:v>2026-07-09</x:v>
      </x:c>
      <x:c r="C64" s="11" t="str">
        <x:v>L2</x:v>
      </x:c>
      <x:c r="D64" s="11" t="str">
        <x:v>Envasado B</x:v>
      </x:c>
      <x:c r="E64" s="11" t="str">
        <x:v>Matutino</x:v>
      </x:c>
      <x:c r="F64" s="11" t="str">
        <x:v>P003</x:v>
      </x:c>
      <x:c r="G64" s="11" t="str">
        <x:v>Producto Gamma</x:v>
      </x:c>
      <x:c r="H64" s="11" t="n">
        <x:v>480</x:v>
      </x:c>
      <x:c r="I64" s="11" t="n">
        <x:v>23</x:v>
      </x:c>
      <x:c r="J64" s="11" t="n">
        <x:v>11</x:v>
      </x:c>
      <x:c r="K64" s="11" t="n">
        <x:v>446</x:v>
      </x:c>
      <x:c r="L64" s="11" t="n">
        <x:v>7.5</x:v>
      </x:c>
      <x:c r="M64" s="11" t="n">
        <x:v>3084</x:v>
      </x:c>
      <x:c r="N64" s="11" t="n">
        <x:v>3040</x:v>
      </x:c>
      <x:c r="O64" s="11" t="n">
        <x:v>2897</x:v>
      </x:c>
      <x:c r="P64" s="11" t="n">
        <x:v>143</x:v>
      </x:c>
    </x:row>
    <x:row r="65">
      <x:c r="A65" s="11" t="n">
        <x:v>64</x:v>
      </x:c>
      <x:c r="B65" s="11" t="str">
        <x:v>2026-07-09</x:v>
      </x:c>
      <x:c r="C65" s="11" t="str">
        <x:v>L2</x:v>
      </x:c>
      <x:c r="D65" s="11" t="str">
        <x:v>Envasado B</x:v>
      </x:c>
      <x:c r="E65" s="11" t="str">
        <x:v>Vespertino</x:v>
      </x:c>
      <x:c r="F65" s="11" t="str">
        <x:v>P003</x:v>
      </x:c>
      <x:c r="G65" s="11" t="str">
        <x:v>Producto Gamma</x:v>
      </x:c>
      <x:c r="H65" s="11" t="n">
        <x:v>480</x:v>
      </x:c>
      <x:c r="I65" s="11" t="n">
        <x:v>28</x:v>
      </x:c>
      <x:c r="J65" s="11" t="n">
        <x:v>24</x:v>
      </x:c>
      <x:c r="K65" s="11" t="n">
        <x:v>428</x:v>
      </x:c>
      <x:c r="L65" s="11" t="n">
        <x:v>7.5</x:v>
      </x:c>
      <x:c r="M65" s="11" t="n">
        <x:v>3051</x:v>
      </x:c>
      <x:c r="N65" s="11" t="n">
        <x:v>2941</x:v>
      </x:c>
      <x:c r="O65" s="11" t="n">
        <x:v>2784</x:v>
      </x:c>
      <x:c r="P65" s="11" t="n">
        <x:v>157</x:v>
      </x:c>
    </x:row>
    <x:row r="66">
      <x:c r="A66" s="11" t="n">
        <x:v>65</x:v>
      </x:c>
      <x:c r="B66" s="11" t="str">
        <x:v>2026-07-09</x:v>
      </x:c>
      <x:c r="C66" s="11" t="str">
        <x:v>L3</x:v>
      </x:c>
      <x:c r="D66" s="11" t="str">
        <x:v>Empaque</x:v>
      </x:c>
      <x:c r="E66" s="11" t="str">
        <x:v>Matutino</x:v>
      </x:c>
      <x:c r="F66" s="11" t="str">
        <x:v>P002</x:v>
      </x:c>
      <x:c r="G66" s="11" t="str">
        <x:v>Producto Beta</x:v>
      </x:c>
      <x:c r="H66" s="11" t="n">
        <x:v>480</x:v>
      </x:c>
      <x:c r="I66" s="11" t="n">
        <x:v>19</x:v>
      </x:c>
      <x:c r="J66" s="11" t="n">
        <x:v>16</x:v>
      </x:c>
      <x:c r="K66" s="11" t="n">
        <x:v>445</x:v>
      </x:c>
      <x:c r="L66" s="11" t="n">
        <x:v>8.67</x:v>
      </x:c>
      <x:c r="M66" s="11" t="n">
        <x:v>3595</x:v>
      </x:c>
      <x:c r="N66" s="11" t="n">
        <x:v>3406</x:v>
      </x:c>
      <x:c r="O66" s="11" t="n">
        <x:v>3198</x:v>
      </x:c>
      <x:c r="P66" s="11" t="n">
        <x:v>208</x:v>
      </x:c>
    </x:row>
    <x:row r="67">
      <x:c r="A67" s="11" t="n">
        <x:v>66</x:v>
      </x:c>
      <x:c r="B67" s="11" t="str">
        <x:v>2026-07-09</x:v>
      </x:c>
      <x:c r="C67" s="11" t="str">
        <x:v>L3</x:v>
      </x:c>
      <x:c r="D67" s="11" t="str">
        <x:v>Empaque</x:v>
      </x:c>
      <x:c r="E67" s="11" t="str">
        <x:v>Vespertino</x:v>
      </x:c>
      <x:c r="F67" s="11" t="str">
        <x:v>P002</x:v>
      </x:c>
      <x:c r="G67" s="11" t="str">
        <x:v>Producto Beta</x:v>
      </x:c>
      <x:c r="H67" s="11" t="n">
        <x:v>480</x:v>
      </x:c>
      <x:c r="I67" s="11" t="n">
        <x:v>32</x:v>
      </x:c>
      <x:c r="J67" s="11" t="n">
        <x:v>0</x:v>
      </x:c>
      <x:c r="K67" s="11" t="n">
        <x:v>448</x:v>
      </x:c>
      <x:c r="L67" s="11" t="n">
        <x:v>8.67</x:v>
      </x:c>
      <x:c r="M67" s="11" t="n">
        <x:v>3494</x:v>
      </x:c>
      <x:c r="N67" s="11" t="n">
        <x:v>3602</x:v>
      </x:c>
      <x:c r="O67" s="11" t="n">
        <x:v>3386</x:v>
      </x:c>
      <x:c r="P67" s="11" t="n">
        <x:v>216</x:v>
      </x:c>
    </x:row>
    <x:row r="68">
      <x:c r="A68" s="11" t="n">
        <x:v>67</x:v>
      </x:c>
      <x:c r="B68" s="11" t="str">
        <x:v>2026-07-09</x:v>
      </x:c>
      <x:c r="C68" s="11" t="str">
        <x:v>L4</x:v>
      </x:c>
      <x:c r="D68" s="11" t="str">
        <x:v>Etiquetado</x:v>
      </x:c>
      <x:c r="E68" s="11" t="str">
        <x:v>Matutino</x:v>
      </x:c>
      <x:c r="F68" s="11" t="str">
        <x:v>P003</x:v>
      </x:c>
      <x:c r="G68" s="11" t="str">
        <x:v>Producto Gamma</x:v>
      </x:c>
      <x:c r="H68" s="11" t="n">
        <x:v>480</x:v>
      </x:c>
      <x:c r="I68" s="11" t="n">
        <x:v>19</x:v>
      </x:c>
      <x:c r="J68" s="11" t="n">
        <x:v>0</x:v>
      </x:c>
      <x:c r="K68" s="11" t="n">
        <x:v>461</x:v>
      </x:c>
      <x:c r="L68" s="11" t="n">
        <x:v>10</x:v>
      </x:c>
      <x:c r="M68" s="11" t="n">
        <x:v>4149</x:v>
      </x:c>
      <x:c r="N68" s="11" t="n">
        <x:v>4083</x:v>
      </x:c>
      <x:c r="O68" s="11" t="n">
        <x:v>3854</x:v>
      </x:c>
      <x:c r="P68" s="11" t="n">
        <x:v>229</x:v>
      </x:c>
    </x:row>
    <x:row r="69">
      <x:c r="A69" s="11" t="n">
        <x:v>68</x:v>
      </x:c>
      <x:c r="B69" s="11" t="str">
        <x:v>2026-07-09</x:v>
      </x:c>
      <x:c r="C69" s="11" t="str">
        <x:v>L4</x:v>
      </x:c>
      <x:c r="D69" s="11" t="str">
        <x:v>Etiquetado</x:v>
      </x:c>
      <x:c r="E69" s="11" t="str">
        <x:v>Vespertino</x:v>
      </x:c>
      <x:c r="F69" s="11" t="str">
        <x:v>P001</x:v>
      </x:c>
      <x:c r="G69" s="11" t="str">
        <x:v>Producto Alfa</x:v>
      </x:c>
      <x:c r="H69" s="11" t="n">
        <x:v>480</x:v>
      </x:c>
      <x:c r="I69" s="11" t="n">
        <x:v>16</x:v>
      </x:c>
      <x:c r="J69" s="11" t="n">
        <x:v>21</x:v>
      </x:c>
      <x:c r="K69" s="11" t="n">
        <x:v>443</x:v>
      </x:c>
      <x:c r="L69" s="11" t="n">
        <x:v>10</x:v>
      </x:c>
      <x:c r="M69" s="11" t="n">
        <x:v>4176</x:v>
      </x:c>
      <x:c r="N69" s="11" t="n">
        <x:v>3878</x:v>
      </x:c>
      <x:c r="O69" s="11" t="n">
        <x:v>3815</x:v>
      </x:c>
      <x:c r="P69" s="11" t="n">
        <x:v>63</x:v>
      </x:c>
    </x:row>
    <x:row r="70">
      <x:c r="A70" s="11" t="n">
        <x:v>69</x:v>
      </x:c>
      <x:c r="B70" s="11" t="str">
        <x:v>2026-07-10</x:v>
      </x:c>
      <x:c r="C70" s="11" t="str">
        <x:v>L1</x:v>
      </x:c>
      <x:c r="D70" s="11" t="str">
        <x:v>Envasado A</x:v>
      </x:c>
      <x:c r="E70" s="11" t="str">
        <x:v>Matutino</x:v>
      </x:c>
      <x:c r="F70" s="11" t="str">
        <x:v>P001</x:v>
      </x:c>
      <x:c r="G70" s="11" t="str">
        <x:v>Producto Alfa</x:v>
      </x:c>
      <x:c r="H70" s="11" t="n">
        <x:v>480</x:v>
      </x:c>
      <x:c r="I70" s="11" t="n">
        <x:v>26</x:v>
      </x:c>
      <x:c r="J70" s="11" t="n">
        <x:v>32</x:v>
      </x:c>
      <x:c r="K70" s="11" t="n">
        <x:v>422</x:v>
      </x:c>
      <x:c r="L70" s="11" t="n">
        <x:v>8</x:v>
      </x:c>
      <x:c r="M70" s="11" t="n">
        <x:v>3268</x:v>
      </x:c>
      <x:c r="N70" s="11" t="n">
        <x:v>3183</x:v>
      </x:c>
      <x:c r="O70" s="11" t="n">
        <x:v>3108</x:v>
      </x:c>
      <x:c r="P70" s="11" t="n">
        <x:v>75</x:v>
      </x:c>
    </x:row>
    <x:row r="71">
      <x:c r="A71" s="11" t="n">
        <x:v>70</x:v>
      </x:c>
      <x:c r="B71" s="11" t="str">
        <x:v>2026-07-10</x:v>
      </x:c>
      <x:c r="C71" s="11" t="str">
        <x:v>L1</x:v>
      </x:c>
      <x:c r="D71" s="11" t="str">
        <x:v>Envasado A</x:v>
      </x:c>
      <x:c r="E71" s="11" t="str">
        <x:v>Vespertino</x:v>
      </x:c>
      <x:c r="F71" s="11" t="str">
        <x:v>P002</x:v>
      </x:c>
      <x:c r="G71" s="11" t="str">
        <x:v>Producto Beta</x:v>
      </x:c>
      <x:c r="H71" s="11" t="n">
        <x:v>480</x:v>
      </x:c>
      <x:c r="I71" s="11" t="n">
        <x:v>34</x:v>
      </x:c>
      <x:c r="J71" s="11" t="n">
        <x:v>51</x:v>
      </x:c>
      <x:c r="K71" s="11" t="n">
        <x:v>395</x:v>
      </x:c>
      <x:c r="L71" s="11" t="n">
        <x:v>8</x:v>
      </x:c>
      <x:c r="M71" s="11" t="n">
        <x:v>3211</x:v>
      </x:c>
      <x:c r="N71" s="11" t="n">
        <x:v>2874</x:v>
      </x:c>
      <x:c r="O71" s="11" t="n">
        <x:v>2622</x:v>
      </x:c>
      <x:c r="P71" s="11" t="n">
        <x:v>252</x:v>
      </x:c>
    </x:row>
    <x:row r="72">
      <x:c r="A72" s="11" t="n">
        <x:v>71</x:v>
      </x:c>
      <x:c r="B72" s="11" t="str">
        <x:v>2026-07-10</x:v>
      </x:c>
      <x:c r="C72" s="11" t="str">
        <x:v>L2</x:v>
      </x:c>
      <x:c r="D72" s="11" t="str">
        <x:v>Envasado B</x:v>
      </x:c>
      <x:c r="E72" s="11" t="str">
        <x:v>Matutino</x:v>
      </x:c>
      <x:c r="F72" s="11" t="str">
        <x:v>P001</x:v>
      </x:c>
      <x:c r="G72" s="11" t="str">
        <x:v>Producto Alfa</x:v>
      </x:c>
      <x:c r="H72" s="11" t="n">
        <x:v>480</x:v>
      </x:c>
      <x:c r="I72" s="11" t="n">
        <x:v>20</x:v>
      </x:c>
      <x:c r="J72" s="11" t="n">
        <x:v>67</x:v>
      </x:c>
      <x:c r="K72" s="11" t="n">
        <x:v>393</x:v>
      </x:c>
      <x:c r="L72" s="11" t="n">
        <x:v>7.5</x:v>
      </x:c>
      <x:c r="M72" s="11" t="n">
        <x:v>3105</x:v>
      </x:c>
      <x:c r="N72" s="11" t="n">
        <x:v>2646</x:v>
      </x:c>
      <x:c r="O72" s="11" t="n">
        <x:v>2545</x:v>
      </x:c>
      <x:c r="P72" s="11" t="n">
        <x:v>101</x:v>
      </x:c>
    </x:row>
    <x:row r="73">
      <x:c r="A73" s="11" t="n">
        <x:v>72</x:v>
      </x:c>
      <x:c r="B73" s="11" t="str">
        <x:v>2026-07-10</x:v>
      </x:c>
      <x:c r="C73" s="11" t="str">
        <x:v>L2</x:v>
      </x:c>
      <x:c r="D73" s="11" t="str">
        <x:v>Envasado B</x:v>
      </x:c>
      <x:c r="E73" s="11" t="str">
        <x:v>Vespertino</x:v>
      </x:c>
      <x:c r="F73" s="11" t="str">
        <x:v>P003</x:v>
      </x:c>
      <x:c r="G73" s="11" t="str">
        <x:v>Producto Gamma</x:v>
      </x:c>
      <x:c r="H73" s="11" t="n">
        <x:v>480</x:v>
      </x:c>
      <x:c r="I73" s="11" t="n">
        <x:v>25</x:v>
      </x:c>
      <x:c r="J73" s="11" t="n">
        <x:v>24</x:v>
      </x:c>
      <x:c r="K73" s="11" t="n">
        <x:v>431</x:v>
      </x:c>
      <x:c r="L73" s="11" t="n">
        <x:v>7.5</x:v>
      </x:c>
      <x:c r="M73" s="11" t="n">
        <x:v>3071</x:v>
      </x:c>
      <x:c r="N73" s="11" t="n">
        <x:v>2971</x:v>
      </x:c>
      <x:c r="O73" s="11" t="n">
        <x:v>2786</x:v>
      </x:c>
      <x:c r="P73" s="11" t="n">
        <x:v>185</x:v>
      </x:c>
    </x:row>
    <x:row r="74">
      <x:c r="A74" s="11" t="n">
        <x:v>73</x:v>
      </x:c>
      <x:c r="B74" s="11" t="str">
        <x:v>2026-07-10</x:v>
      </x:c>
      <x:c r="C74" s="11" t="str">
        <x:v>L3</x:v>
      </x:c>
      <x:c r="D74" s="11" t="str">
        <x:v>Empaque</x:v>
      </x:c>
      <x:c r="E74" s="11" t="str">
        <x:v>Matutino</x:v>
      </x:c>
      <x:c r="F74" s="11" t="str">
        <x:v>P003</x:v>
      </x:c>
      <x:c r="G74" s="11" t="str">
        <x:v>Producto Gamma</x:v>
      </x:c>
      <x:c r="H74" s="11" t="n">
        <x:v>480</x:v>
      </x:c>
      <x:c r="I74" s="11" t="n">
        <x:v>22</x:v>
      </x:c>
      <x:c r="J74" s="11" t="n">
        <x:v>23</x:v>
      </x:c>
      <x:c r="K74" s="11" t="n">
        <x:v>435</x:v>
      </x:c>
      <x:c r="L74" s="11" t="n">
        <x:v>8.67</x:v>
      </x:c>
      <x:c r="M74" s="11" t="n">
        <x:v>3572</x:v>
      </x:c>
      <x:c r="N74" s="11" t="n">
        <x:v>3727</x:v>
      </x:c>
      <x:c r="O74" s="11" t="n">
        <x:v>3611</x:v>
      </x:c>
      <x:c r="P74" s="11" t="n">
        <x:v>116</x:v>
      </x:c>
    </x:row>
    <x:row r="75">
      <x:c r="A75" s="11" t="n">
        <x:v>74</x:v>
      </x:c>
      <x:c r="B75" s="11" t="str">
        <x:v>2026-07-10</x:v>
      </x:c>
      <x:c r="C75" s="11" t="str">
        <x:v>L3</x:v>
      </x:c>
      <x:c r="D75" s="11" t="str">
        <x:v>Empaque</x:v>
      </x:c>
      <x:c r="E75" s="11" t="str">
        <x:v>Vespertino</x:v>
      </x:c>
      <x:c r="F75" s="11" t="str">
        <x:v>P002</x:v>
      </x:c>
      <x:c r="G75" s="11" t="str">
        <x:v>Producto Beta</x:v>
      </x:c>
      <x:c r="H75" s="11" t="n">
        <x:v>480</x:v>
      </x:c>
      <x:c r="I75" s="11" t="n">
        <x:v>22</x:v>
      </x:c>
      <x:c r="J75" s="11" t="n">
        <x:v>56</x:v>
      </x:c>
      <x:c r="K75" s="11" t="n">
        <x:v>402</x:v>
      </x:c>
      <x:c r="L75" s="11" t="n">
        <x:v>8.67</x:v>
      </x:c>
      <x:c r="M75" s="11" t="n">
        <x:v>3572</x:v>
      </x:c>
      <x:c r="N75" s="11" t="n">
        <x:v>3279</x:v>
      </x:c>
      <x:c r="O75" s="11" t="n">
        <x:v>3165</x:v>
      </x:c>
      <x:c r="P75" s="11" t="n">
        <x:v>114</x:v>
      </x:c>
    </x:row>
    <x:row r="76">
      <x:c r="A76" s="11" t="n">
        <x:v>75</x:v>
      </x:c>
      <x:c r="B76" s="11" t="str">
        <x:v>2026-07-10</x:v>
      </x:c>
      <x:c r="C76" s="11" t="str">
        <x:v>L4</x:v>
      </x:c>
      <x:c r="D76" s="11" t="str">
        <x:v>Etiquetado</x:v>
      </x:c>
      <x:c r="E76" s="11" t="str">
        <x:v>Matutino</x:v>
      </x:c>
      <x:c r="F76" s="11" t="str">
        <x:v>P002</x:v>
      </x:c>
      <x:c r="G76" s="11" t="str">
        <x:v>Producto Beta</x:v>
      </x:c>
      <x:c r="H76" s="11" t="n">
        <x:v>480</x:v>
      </x:c>
      <x:c r="I76" s="11" t="n">
        <x:v>24</x:v>
      </x:c>
      <x:c r="J76" s="11" t="n">
        <x:v>47</x:v>
      </x:c>
      <x:c r="K76" s="11" t="n">
        <x:v>409</x:v>
      </x:c>
      <x:c r="L76" s="11" t="n">
        <x:v>10</x:v>
      </x:c>
      <x:c r="M76" s="11" t="n">
        <x:v>4104</x:v>
      </x:c>
      <x:c r="N76" s="11" t="n">
        <x:v>3385</x:v>
      </x:c>
      <x:c r="O76" s="11" t="n">
        <x:v>3192</x:v>
      </x:c>
      <x:c r="P76" s="11" t="n">
        <x:v>193</x:v>
      </x:c>
    </x:row>
    <x:row r="77">
      <x:c r="A77" s="11" t="n">
        <x:v>76</x:v>
      </x:c>
      <x:c r="B77" s="11" t="str">
        <x:v>2026-07-10</x:v>
      </x:c>
      <x:c r="C77" s="11" t="str">
        <x:v>L4</x:v>
      </x:c>
      <x:c r="D77" s="11" t="str">
        <x:v>Etiquetado</x:v>
      </x:c>
      <x:c r="E77" s="11" t="str">
        <x:v>Vespertino</x:v>
      </x:c>
      <x:c r="F77" s="11" t="str">
        <x:v>P002</x:v>
      </x:c>
      <x:c r="G77" s="11" t="str">
        <x:v>Producto Beta</x:v>
      </x:c>
      <x:c r="H77" s="11" t="n">
        <x:v>480</x:v>
      </x:c>
      <x:c r="I77" s="11" t="n">
        <x:v>25</x:v>
      </x:c>
      <x:c r="J77" s="11" t="n">
        <x:v>59</x:v>
      </x:c>
      <x:c r="K77" s="11" t="n">
        <x:v>396</x:v>
      </x:c>
      <x:c r="L77" s="11" t="n">
        <x:v>10</x:v>
      </x:c>
      <x:c r="M77" s="11" t="n">
        <x:v>4095</x:v>
      </x:c>
      <x:c r="N77" s="11" t="n">
        <x:v>3591</x:v>
      </x:c>
      <x:c r="O77" s="11" t="n">
        <x:v>3391</x:v>
      </x:c>
      <x:c r="P77" s="11" t="n">
        <x:v>200</x:v>
      </x:c>
    </x:row>
    <x:row r="78">
      <x:c r="A78" s="11" t="n">
        <x:v>77</x:v>
      </x:c>
      <x:c r="B78" s="11" t="str">
        <x:v>2026-07-11</x:v>
      </x:c>
      <x:c r="C78" s="11" t="str">
        <x:v>L1</x:v>
      </x:c>
      <x:c r="D78" s="11" t="str">
        <x:v>Envasado A</x:v>
      </x:c>
      <x:c r="E78" s="11" t="str">
        <x:v>Matutino</x:v>
      </x:c>
      <x:c r="F78" s="11" t="str">
        <x:v>P002</x:v>
      </x:c>
      <x:c r="G78" s="11" t="str">
        <x:v>Producto Beta</x:v>
      </x:c>
      <x:c r="H78" s="11" t="n">
        <x:v>480</x:v>
      </x:c>
      <x:c r="I78" s="11" t="n">
        <x:v>26</x:v>
      </x:c>
      <x:c r="J78" s="11" t="n">
        <x:v>13</x:v>
      </x:c>
      <x:c r="K78" s="11" t="n">
        <x:v>441</x:v>
      </x:c>
      <x:c r="L78" s="11" t="n">
        <x:v>8</x:v>
      </x:c>
      <x:c r="M78" s="11" t="n">
        <x:v>3268</x:v>
      </x:c>
      <x:c r="N78" s="11" t="n">
        <x:v>3085</x:v>
      </x:c>
      <x:c r="O78" s="11" t="n">
        <x:v>2945</x:v>
      </x:c>
      <x:c r="P78" s="11" t="n">
        <x:v>140</x:v>
      </x:c>
    </x:row>
    <x:row r="79">
      <x:c r="A79" s="11" t="n">
        <x:v>78</x:v>
      </x:c>
      <x:c r="B79" s="11" t="str">
        <x:v>2026-07-11</x:v>
      </x:c>
      <x:c r="C79" s="11" t="str">
        <x:v>L1</x:v>
      </x:c>
      <x:c r="D79" s="11" t="str">
        <x:v>Envasado A</x:v>
      </x:c>
      <x:c r="E79" s="11" t="str">
        <x:v>Vespertino</x:v>
      </x:c>
      <x:c r="F79" s="11" t="str">
        <x:v>P001</x:v>
      </x:c>
      <x:c r="G79" s="11" t="str">
        <x:v>Producto Alfa</x:v>
      </x:c>
      <x:c r="H79" s="11" t="n">
        <x:v>480</x:v>
      </x:c>
      <x:c r="I79" s="11" t="n">
        <x:v>18</x:v>
      </x:c>
      <x:c r="J79" s="11" t="n">
        <x:v>24</x:v>
      </x:c>
      <x:c r="K79" s="11" t="n">
        <x:v>438</x:v>
      </x:c>
      <x:c r="L79" s="11" t="n">
        <x:v>8</x:v>
      </x:c>
      <x:c r="M79" s="11" t="n">
        <x:v>3326</x:v>
      </x:c>
      <x:c r="N79" s="11" t="n">
        <x:v>3276</x:v>
      </x:c>
      <x:c r="O79" s="11" t="n">
        <x:v>3123</x:v>
      </x:c>
      <x:c r="P79" s="11" t="n">
        <x:v>153</x:v>
      </x:c>
    </x:row>
    <x:row r="80">
      <x:c r="A80" s="11" t="n">
        <x:v>79</x:v>
      </x:c>
      <x:c r="B80" s="11" t="str">
        <x:v>2026-07-11</x:v>
      </x:c>
      <x:c r="C80" s="11" t="str">
        <x:v>L2</x:v>
      </x:c>
      <x:c r="D80" s="11" t="str">
        <x:v>Envasado B</x:v>
      </x:c>
      <x:c r="E80" s="11" t="str">
        <x:v>Matutino</x:v>
      </x:c>
      <x:c r="F80" s="11" t="str">
        <x:v>P003</x:v>
      </x:c>
      <x:c r="G80" s="11" t="str">
        <x:v>Producto Gamma</x:v>
      </x:c>
      <x:c r="H80" s="11" t="n">
        <x:v>480</x:v>
      </x:c>
      <x:c r="I80" s="11" t="n">
        <x:v>23</x:v>
      </x:c>
      <x:c r="J80" s="11" t="n">
        <x:v>56</x:v>
      </x:c>
      <x:c r="K80" s="11" t="n">
        <x:v>401</x:v>
      </x:c>
      <x:c r="L80" s="11" t="n">
        <x:v>7.5</x:v>
      </x:c>
      <x:c r="M80" s="11" t="n">
        <x:v>3084</x:v>
      </x:c>
      <x:c r="N80" s="11" t="n">
        <x:v>2780</x:v>
      </x:c>
      <x:c r="O80" s="11" t="n">
        <x:v>2607</x:v>
      </x:c>
      <x:c r="P80" s="11" t="n">
        <x:v>173</x:v>
      </x:c>
    </x:row>
    <x:row r="81">
      <x:c r="A81" s="11" t="n">
        <x:v>80</x:v>
      </x:c>
      <x:c r="B81" s="11" t="str">
        <x:v>2026-07-11</x:v>
      </x:c>
      <x:c r="C81" s="11" t="str">
        <x:v>L2</x:v>
      </x:c>
      <x:c r="D81" s="11" t="str">
        <x:v>Envasado B</x:v>
      </x:c>
      <x:c r="E81" s="11" t="str">
        <x:v>Vespertino</x:v>
      </x:c>
      <x:c r="F81" s="11" t="str">
        <x:v>P002</x:v>
      </x:c>
      <x:c r="G81" s="11" t="str">
        <x:v>Producto Beta</x:v>
      </x:c>
      <x:c r="H81" s="11" t="n">
        <x:v>480</x:v>
      </x:c>
      <x:c r="I81" s="11" t="n">
        <x:v>34</x:v>
      </x:c>
      <x:c r="J81" s="11" t="n">
        <x:v>59</x:v>
      </x:c>
      <x:c r="K81" s="11" t="n">
        <x:v>387</x:v>
      </x:c>
      <x:c r="L81" s="11" t="n">
        <x:v>7.5</x:v>
      </x:c>
      <x:c r="M81" s="11" t="n">
        <x:v>3010</x:v>
      </x:c>
      <x:c r="N81" s="11" t="n">
        <x:v>2705</x:v>
      </x:c>
      <x:c r="O81" s="11" t="n">
        <x:v>2541</x:v>
      </x:c>
      <x:c r="P81" s="11" t="n">
        <x:v>164</x:v>
      </x:c>
    </x:row>
    <x:row r="82">
      <x:c r="A82" s="11" t="n">
        <x:v>81</x:v>
      </x:c>
      <x:c r="B82" s="11" t="str">
        <x:v>2026-07-11</x:v>
      </x:c>
      <x:c r="C82" s="11" t="str">
        <x:v>L3</x:v>
      </x:c>
      <x:c r="D82" s="11" t="str">
        <x:v>Empaque</x:v>
      </x:c>
      <x:c r="E82" s="11" t="str">
        <x:v>Matutino</x:v>
      </x:c>
      <x:c r="F82" s="11" t="str">
        <x:v>P003</x:v>
      </x:c>
      <x:c r="G82" s="11" t="str">
        <x:v>Producto Gamma</x:v>
      </x:c>
      <x:c r="H82" s="11" t="n">
        <x:v>480</x:v>
      </x:c>
      <x:c r="I82" s="11" t="n">
        <x:v>21</x:v>
      </x:c>
      <x:c r="J82" s="11" t="n">
        <x:v>26</x:v>
      </x:c>
      <x:c r="K82" s="11" t="n">
        <x:v>433</x:v>
      </x:c>
      <x:c r="L82" s="11" t="n">
        <x:v>8.67</x:v>
      </x:c>
      <x:c r="M82" s="11" t="n">
        <x:v>3580</x:v>
      </x:c>
      <x:c r="N82" s="11" t="n">
        <x:v>3680</x:v>
      </x:c>
      <x:c r="O82" s="11" t="n">
        <x:v>3596</x:v>
      </x:c>
      <x:c r="P82" s="11" t="n">
        <x:v>84</x:v>
      </x:c>
    </x:row>
    <x:row r="83">
      <x:c r="A83" s="11" t="n">
        <x:v>82</x:v>
      </x:c>
      <x:c r="B83" s="11" t="str">
        <x:v>2026-07-11</x:v>
      </x:c>
      <x:c r="C83" s="11" t="str">
        <x:v>L3</x:v>
      </x:c>
      <x:c r="D83" s="11" t="str">
        <x:v>Empaque</x:v>
      </x:c>
      <x:c r="E83" s="11" t="str">
        <x:v>Vespertino</x:v>
      </x:c>
      <x:c r="F83" s="11" t="str">
        <x:v>P003</x:v>
      </x:c>
      <x:c r="G83" s="11" t="str">
        <x:v>Producto Gamma</x:v>
      </x:c>
      <x:c r="H83" s="11" t="n">
        <x:v>480</x:v>
      </x:c>
      <x:c r="I83" s="11" t="n">
        <x:v>21</x:v>
      </x:c>
      <x:c r="J83" s="11" t="n">
        <x:v>28</x:v>
      </x:c>
      <x:c r="K83" s="11" t="n">
        <x:v>431</x:v>
      </x:c>
      <x:c r="L83" s="11" t="n">
        <x:v>8.67</x:v>
      </x:c>
      <x:c r="M83" s="11" t="n">
        <x:v>3580</x:v>
      </x:c>
      <x:c r="N83" s="11" t="n">
        <x:v>3357</x:v>
      </x:c>
      <x:c r="O83" s="11" t="n">
        <x:v>3200</x:v>
      </x:c>
      <x:c r="P83" s="11" t="n">
        <x:v>157</x:v>
      </x:c>
    </x:row>
    <x:row r="84">
      <x:c r="A84" s="11" t="n">
        <x:v>83</x:v>
      </x:c>
      <x:c r="B84" s="11" t="str">
        <x:v>2026-07-11</x:v>
      </x:c>
      <x:c r="C84" s="11" t="str">
        <x:v>L4</x:v>
      </x:c>
      <x:c r="D84" s="11" t="str">
        <x:v>Etiquetado</x:v>
      </x:c>
      <x:c r="E84" s="11" t="str">
        <x:v>Matutino</x:v>
      </x:c>
      <x:c r="F84" s="11" t="str">
        <x:v>P003</x:v>
      </x:c>
      <x:c r="G84" s="11" t="str">
        <x:v>Producto Gamma</x:v>
      </x:c>
      <x:c r="H84" s="11" t="n">
        <x:v>480</x:v>
      </x:c>
      <x:c r="I84" s="11" t="n">
        <x:v>25</x:v>
      </x:c>
      <x:c r="J84" s="11" t="n">
        <x:v>4</x:v>
      </x:c>
      <x:c r="K84" s="11" t="n">
        <x:v>451</x:v>
      </x:c>
      <x:c r="L84" s="11" t="n">
        <x:v>10</x:v>
      </x:c>
      <x:c r="M84" s="11" t="n">
        <x:v>4095</x:v>
      </x:c>
      <x:c r="N84" s="11" t="n">
        <x:v>3894</x:v>
      </x:c>
      <x:c r="O84" s="11" t="n">
        <x:v>3770</x:v>
      </x:c>
      <x:c r="P84" s="11" t="n">
        <x:v>124</x:v>
      </x:c>
    </x:row>
    <x:row r="85">
      <x:c r="A85" s="11" t="n">
        <x:v>84</x:v>
      </x:c>
      <x:c r="B85" s="11" t="str">
        <x:v>2026-07-11</x:v>
      </x:c>
      <x:c r="C85" s="11" t="str">
        <x:v>L4</x:v>
      </x:c>
      <x:c r="D85" s="11" t="str">
        <x:v>Etiquetado</x:v>
      </x:c>
      <x:c r="E85" s="11" t="str">
        <x:v>Vespertino</x:v>
      </x:c>
      <x:c r="F85" s="11" t="str">
        <x:v>P003</x:v>
      </x:c>
      <x:c r="G85" s="11" t="str">
        <x:v>Producto Gamma</x:v>
      </x:c>
      <x:c r="H85" s="11" t="n">
        <x:v>480</x:v>
      </x:c>
      <x:c r="I85" s="11" t="n">
        <x:v>24</x:v>
      </x:c>
      <x:c r="J85" s="11" t="n">
        <x:v>61</x:v>
      </x:c>
      <x:c r="K85" s="11" t="n">
        <x:v>395</x:v>
      </x:c>
      <x:c r="L85" s="11" t="n">
        <x:v>10</x:v>
      </x:c>
      <x:c r="M85" s="11" t="n">
        <x:v>4104</x:v>
      </x:c>
      <x:c r="N85" s="11" t="n">
        <x:v>3515</x:v>
      </x:c>
      <x:c r="O85" s="11" t="n">
        <x:v>3306</x:v>
      </x:c>
      <x:c r="P85" s="11" t="n">
        <x:v>209</x:v>
      </x:c>
    </x:row>
    <x:row r="86">
      <x:c r="A86" s="11" t="n">
        <x:v>85</x:v>
      </x:c>
      <x:c r="B86" s="11" t="str">
        <x:v>2026-07-12</x:v>
      </x:c>
      <x:c r="C86" s="11" t="str">
        <x:v>L1</x:v>
      </x:c>
      <x:c r="D86" s="11" t="str">
        <x:v>Envasado A</x:v>
      </x:c>
      <x:c r="E86" s="11" t="str">
        <x:v>Matutino</x:v>
      </x:c>
      <x:c r="F86" s="11" t="str">
        <x:v>P003</x:v>
      </x:c>
      <x:c r="G86" s="11" t="str">
        <x:v>Producto Gamma</x:v>
      </x:c>
      <x:c r="H86" s="11" t="n">
        <x:v>480</x:v>
      </x:c>
      <x:c r="I86" s="11" t="n">
        <x:v>24</x:v>
      </x:c>
      <x:c r="J86" s="11" t="n">
        <x:v>14</x:v>
      </x:c>
      <x:c r="K86" s="11" t="n">
        <x:v>442</x:v>
      </x:c>
      <x:c r="L86" s="11" t="n">
        <x:v>8</x:v>
      </x:c>
      <x:c r="M86" s="11" t="n">
        <x:v>3283</x:v>
      </x:c>
      <x:c r="N86" s="11" t="n">
        <x:v>3182</x:v>
      </x:c>
      <x:c r="O86" s="11" t="n">
        <x:v>3003</x:v>
      </x:c>
      <x:c r="P86" s="11" t="n">
        <x:v>179</x:v>
      </x:c>
    </x:row>
    <x:row r="87">
      <x:c r="A87" s="11" t="n">
        <x:v>86</x:v>
      </x:c>
      <x:c r="B87" s="11" t="str">
        <x:v>2026-07-12</x:v>
      </x:c>
      <x:c r="C87" s="11" t="str">
        <x:v>L1</x:v>
      </x:c>
      <x:c r="D87" s="11" t="str">
        <x:v>Envasado A</x:v>
      </x:c>
      <x:c r="E87" s="11" t="str">
        <x:v>Vespertino</x:v>
      </x:c>
      <x:c r="F87" s="11" t="str">
        <x:v>P003</x:v>
      </x:c>
      <x:c r="G87" s="11" t="str">
        <x:v>Producto Gamma</x:v>
      </x:c>
      <x:c r="H87" s="11" t="n">
        <x:v>480</x:v>
      </x:c>
      <x:c r="I87" s="11" t="n">
        <x:v>20</x:v>
      </x:c>
      <x:c r="J87" s="11" t="n">
        <x:v>9</x:v>
      </x:c>
      <x:c r="K87" s="11" t="n">
        <x:v>451</x:v>
      </x:c>
      <x:c r="L87" s="11" t="n">
        <x:v>8</x:v>
      </x:c>
      <x:c r="M87" s="11" t="n">
        <x:v>3312</x:v>
      </x:c>
      <x:c r="N87" s="11" t="n">
        <x:v>3180</x:v>
      </x:c>
      <x:c r="O87" s="11" t="n">
        <x:v>2999</x:v>
      </x:c>
      <x:c r="P87" s="11" t="n">
        <x:v>181</x:v>
      </x:c>
    </x:row>
    <x:row r="88">
      <x:c r="A88" s="11" t="n">
        <x:v>87</x:v>
      </x:c>
      <x:c r="B88" s="11" t="str">
        <x:v>2026-07-12</x:v>
      </x:c>
      <x:c r="C88" s="11" t="str">
        <x:v>L2</x:v>
      </x:c>
      <x:c r="D88" s="11" t="str">
        <x:v>Envasado B</x:v>
      </x:c>
      <x:c r="E88" s="11" t="str">
        <x:v>Matutino</x:v>
      </x:c>
      <x:c r="F88" s="11" t="str">
        <x:v>P003</x:v>
      </x:c>
      <x:c r="G88" s="11" t="str">
        <x:v>Producto Gamma</x:v>
      </x:c>
      <x:c r="H88" s="11" t="n">
        <x:v>480</x:v>
      </x:c>
      <x:c r="I88" s="11" t="n">
        <x:v>15</x:v>
      </x:c>
      <x:c r="J88" s="11" t="n">
        <x:v>22</x:v>
      </x:c>
      <x:c r="K88" s="11" t="n">
        <x:v>443</x:v>
      </x:c>
      <x:c r="L88" s="11" t="n">
        <x:v>7.5</x:v>
      </x:c>
      <x:c r="M88" s="11" t="n">
        <x:v>3138</x:v>
      </x:c>
      <x:c r="N88" s="11" t="n">
        <x:v>3120</x:v>
      </x:c>
      <x:c r="O88" s="11" t="n">
        <x:v>2975</x:v>
      </x:c>
      <x:c r="P88" s="11" t="n">
        <x:v>145</x:v>
      </x:c>
    </x:row>
    <x:row r="89">
      <x:c r="A89" s="11" t="n">
        <x:v>88</x:v>
      </x:c>
      <x:c r="B89" s="11" t="str">
        <x:v>2026-07-12</x:v>
      </x:c>
      <x:c r="C89" s="11" t="str">
        <x:v>L2</x:v>
      </x:c>
      <x:c r="D89" s="11" t="str">
        <x:v>Envasado B</x:v>
      </x:c>
      <x:c r="E89" s="11" t="str">
        <x:v>Vespertino</x:v>
      </x:c>
      <x:c r="F89" s="11" t="str">
        <x:v>P002</x:v>
      </x:c>
      <x:c r="G89" s="11" t="str">
        <x:v>Producto Beta</x:v>
      </x:c>
      <x:c r="H89" s="11" t="n">
        <x:v>480</x:v>
      </x:c>
      <x:c r="I89" s="11" t="n">
        <x:v>29</x:v>
      </x:c>
      <x:c r="J89" s="11" t="n">
        <x:v>0</x:v>
      </x:c>
      <x:c r="K89" s="11" t="n">
        <x:v>451</x:v>
      </x:c>
      <x:c r="L89" s="11" t="n">
        <x:v>7.5</x:v>
      </x:c>
      <x:c r="M89" s="11" t="n">
        <x:v>3044</x:v>
      </x:c>
      <x:c r="N89" s="11" t="n">
        <x:v>2864</x:v>
      </x:c>
      <x:c r="O89" s="11" t="n">
        <x:v>2710</x:v>
      </x:c>
      <x:c r="P89" s="11" t="n">
        <x:v>154</x:v>
      </x:c>
    </x:row>
    <x:row r="90">
      <x:c r="A90" s="11" t="n">
        <x:v>89</x:v>
      </x:c>
      <x:c r="B90" s="11" t="str">
        <x:v>2026-07-13</x:v>
      </x:c>
      <x:c r="C90" s="11" t="str">
        <x:v>L1</x:v>
      </x:c>
      <x:c r="D90" s="11" t="str">
        <x:v>Envasado A</x:v>
      </x:c>
      <x:c r="E90" s="11" t="str">
        <x:v>Matutino</x:v>
      </x:c>
      <x:c r="F90" s="11" t="str">
        <x:v>P003</x:v>
      </x:c>
      <x:c r="G90" s="11" t="str">
        <x:v>Producto Gamma</x:v>
      </x:c>
      <x:c r="H90" s="11" t="n">
        <x:v>480</x:v>
      </x:c>
      <x:c r="I90" s="11" t="n">
        <x:v>30</x:v>
      </x:c>
      <x:c r="J90" s="11" t="n">
        <x:v>43</x:v>
      </x:c>
      <x:c r="K90" s="11" t="n">
        <x:v>407</x:v>
      </x:c>
      <x:c r="L90" s="11" t="n">
        <x:v>8</x:v>
      </x:c>
      <x:c r="M90" s="11" t="n">
        <x:v>3240</x:v>
      </x:c>
      <x:c r="N90" s="11" t="n">
        <x:v>2605</x:v>
      </x:c>
      <x:c r="O90" s="11" t="n">
        <x:v>2470</x:v>
      </x:c>
      <x:c r="P90" s="11" t="n">
        <x:v>135</x:v>
      </x:c>
    </x:row>
    <x:row r="91">
      <x:c r="A91" s="11" t="n">
        <x:v>90</x:v>
      </x:c>
      <x:c r="B91" s="11" t="str">
        <x:v>2026-07-13</x:v>
      </x:c>
      <x:c r="C91" s="11" t="str">
        <x:v>L1</x:v>
      </x:c>
      <x:c r="D91" s="11" t="str">
        <x:v>Envasado A</x:v>
      </x:c>
      <x:c r="E91" s="11" t="str">
        <x:v>Vespertino</x:v>
      </x:c>
      <x:c r="F91" s="11" t="str">
        <x:v>P002</x:v>
      </x:c>
      <x:c r="G91" s="11" t="str">
        <x:v>Producto Beta</x:v>
      </x:c>
      <x:c r="H91" s="11" t="n">
        <x:v>480</x:v>
      </x:c>
      <x:c r="I91" s="11" t="n">
        <x:v>31</x:v>
      </x:c>
      <x:c r="J91" s="11" t="n">
        <x:v>0</x:v>
      </x:c>
      <x:c r="K91" s="11" t="n">
        <x:v>449</x:v>
      </x:c>
      <x:c r="L91" s="11" t="n">
        <x:v>8</x:v>
      </x:c>
      <x:c r="M91" s="11" t="n">
        <x:v>3232</x:v>
      </x:c>
      <x:c r="N91" s="11" t="n">
        <x:v>3152</x:v>
      </x:c>
      <x:c r="O91" s="11" t="n">
        <x:v>2917</x:v>
      </x:c>
      <x:c r="P91" s="11" t="n">
        <x:v>235</x:v>
      </x:c>
    </x:row>
    <x:row r="92">
      <x:c r="A92" s="11" t="n">
        <x:v>91</x:v>
      </x:c>
      <x:c r="B92" s="11" t="str">
        <x:v>2026-07-13</x:v>
      </x:c>
      <x:c r="C92" s="11" t="str">
        <x:v>L2</x:v>
      </x:c>
      <x:c r="D92" s="11" t="str">
        <x:v>Envasado B</x:v>
      </x:c>
      <x:c r="E92" s="11" t="str">
        <x:v>Matutino</x:v>
      </x:c>
      <x:c r="F92" s="11" t="str">
        <x:v>P001</x:v>
      </x:c>
      <x:c r="G92" s="11" t="str">
        <x:v>Producto Alfa</x:v>
      </x:c>
      <x:c r="H92" s="11" t="n">
        <x:v>480</x:v>
      </x:c>
      <x:c r="I92" s="11" t="n">
        <x:v>22</x:v>
      </x:c>
      <x:c r="J92" s="11" t="n">
        <x:v>20</x:v>
      </x:c>
      <x:c r="K92" s="11" t="n">
        <x:v>438</x:v>
      </x:c>
      <x:c r="L92" s="11" t="n">
        <x:v>7.5</x:v>
      </x:c>
      <x:c r="M92" s="11" t="n">
        <x:v>3091</x:v>
      </x:c>
      <x:c r="N92" s="11" t="n">
        <x:v>2896</x:v>
      </x:c>
      <x:c r="O92" s="11" t="n">
        <x:v>2782</x:v>
      </x:c>
      <x:c r="P92" s="11" t="n">
        <x:v>114</x:v>
      </x:c>
    </x:row>
    <x:row r="93">
      <x:c r="A93" s="11" t="n">
        <x:v>92</x:v>
      </x:c>
      <x:c r="B93" s="11" t="str">
        <x:v>2026-07-13</x:v>
      </x:c>
      <x:c r="C93" s="11" t="str">
        <x:v>L2</x:v>
      </x:c>
      <x:c r="D93" s="11" t="str">
        <x:v>Envasado B</x:v>
      </x:c>
      <x:c r="E93" s="11" t="str">
        <x:v>Vespertino</x:v>
      </x:c>
      <x:c r="F93" s="11" t="str">
        <x:v>P001</x:v>
      </x:c>
      <x:c r="G93" s="11" t="str">
        <x:v>Producto Alfa</x:v>
      </x:c>
      <x:c r="H93" s="11" t="n">
        <x:v>480</x:v>
      </x:c>
      <x:c r="I93" s="11" t="n">
        <x:v>30</x:v>
      </x:c>
      <x:c r="J93" s="11" t="n">
        <x:v>32</x:v>
      </x:c>
      <x:c r="K93" s="11" t="n">
        <x:v>418</x:v>
      </x:c>
      <x:c r="L93" s="11" t="n">
        <x:v>7.5</x:v>
      </x:c>
      <x:c r="M93" s="11" t="n">
        <x:v>3037</x:v>
      </x:c>
      <x:c r="N93" s="11" t="n">
        <x:v>2668</x:v>
      </x:c>
      <x:c r="O93" s="11" t="n">
        <x:v>2526</x:v>
      </x:c>
      <x:c r="P93" s="11" t="n">
        <x:v>142</x:v>
      </x:c>
    </x:row>
    <x:row r="94">
      <x:c r="A94" s="11" t="n">
        <x:v>93</x:v>
      </x:c>
      <x:c r="B94" s="11" t="str">
        <x:v>2026-07-13</x:v>
      </x:c>
      <x:c r="C94" s="11" t="str">
        <x:v>L3</x:v>
      </x:c>
      <x:c r="D94" s="11" t="str">
        <x:v>Empaque</x:v>
      </x:c>
      <x:c r="E94" s="11" t="str">
        <x:v>Matutino</x:v>
      </x:c>
      <x:c r="F94" s="11" t="str">
        <x:v>P002</x:v>
      </x:c>
      <x:c r="G94" s="11" t="str">
        <x:v>Producto Beta</x:v>
      </x:c>
      <x:c r="H94" s="11" t="n">
        <x:v>480</x:v>
      </x:c>
      <x:c r="I94" s="11" t="n">
        <x:v>28</x:v>
      </x:c>
      <x:c r="J94" s="11" t="n">
        <x:v>49</x:v>
      </x:c>
      <x:c r="K94" s="11" t="n">
        <x:v>403</x:v>
      </x:c>
      <x:c r="L94" s="11" t="n">
        <x:v>8.67</x:v>
      </x:c>
      <x:c r="M94" s="11" t="n">
        <x:v>3525</x:v>
      </x:c>
      <x:c r="N94" s="11" t="n">
        <x:v>3043</x:v>
      </x:c>
      <x:c r="O94" s="11" t="n">
        <x:v>2853</x:v>
      </x:c>
      <x:c r="P94" s="11" t="n">
        <x:v>190</x:v>
      </x:c>
    </x:row>
    <x:row r="95">
      <x:c r="A95" s="11" t="n">
        <x:v>94</x:v>
      </x:c>
      <x:c r="B95" s="11" t="str">
        <x:v>2026-07-13</x:v>
      </x:c>
      <x:c r="C95" s="11" t="str">
        <x:v>L3</x:v>
      </x:c>
      <x:c r="D95" s="11" t="str">
        <x:v>Empaque</x:v>
      </x:c>
      <x:c r="E95" s="11" t="str">
        <x:v>Vespertino</x:v>
      </x:c>
      <x:c r="F95" s="11" t="str">
        <x:v>P002</x:v>
      </x:c>
      <x:c r="G95" s="11" t="str">
        <x:v>Producto Beta</x:v>
      </x:c>
      <x:c r="H95" s="11" t="n">
        <x:v>480</x:v>
      </x:c>
      <x:c r="I95" s="11" t="n">
        <x:v>22</x:v>
      </x:c>
      <x:c r="J95" s="11" t="n">
        <x:v>6</x:v>
      </x:c>
      <x:c r="K95" s="11" t="n">
        <x:v>452</x:v>
      </x:c>
      <x:c r="L95" s="11" t="n">
        <x:v>8.67</x:v>
      </x:c>
      <x:c r="M95" s="11" t="n">
        <x:v>3572</x:v>
      </x:c>
      <x:c r="N95" s="11" t="n">
        <x:v>3726</x:v>
      </x:c>
      <x:c r="O95" s="11" t="n">
        <x:v>3557</x:v>
      </x:c>
      <x:c r="P95" s="11" t="n">
        <x:v>169</x:v>
      </x:c>
    </x:row>
    <x:row r="96">
      <x:c r="A96" s="11" t="n">
        <x:v>95</x:v>
      </x:c>
      <x:c r="B96" s="11" t="str">
        <x:v>2026-07-13</x:v>
      </x:c>
      <x:c r="C96" s="11" t="str">
        <x:v>L4</x:v>
      </x:c>
      <x:c r="D96" s="11" t="str">
        <x:v>Etiquetado</x:v>
      </x:c>
      <x:c r="E96" s="11" t="str">
        <x:v>Matutino</x:v>
      </x:c>
      <x:c r="F96" s="11" t="str">
        <x:v>P001</x:v>
      </x:c>
      <x:c r="G96" s="11" t="str">
        <x:v>Producto Alfa</x:v>
      </x:c>
      <x:c r="H96" s="11" t="n">
        <x:v>480</x:v>
      </x:c>
      <x:c r="I96" s="11" t="n">
        <x:v>28</x:v>
      </x:c>
      <x:c r="J96" s="11" t="n">
        <x:v>35</x:v>
      </x:c>
      <x:c r="K96" s="11" t="n">
        <x:v>417</x:v>
      </x:c>
      <x:c r="L96" s="11" t="n">
        <x:v>10</x:v>
      </x:c>
      <x:c r="M96" s="11" t="n">
        <x:v>4068</x:v>
      </x:c>
      <x:c r="N96" s="11" t="n">
        <x:v>4127</x:v>
      </x:c>
      <x:c r="O96" s="11" t="n">
        <x:v>3943</x:v>
      </x:c>
      <x:c r="P96" s="11" t="n">
        <x:v>184</x:v>
      </x:c>
    </x:row>
    <x:row r="97">
      <x:c r="A97" s="11" t="n">
        <x:v>96</x:v>
      </x:c>
      <x:c r="B97" s="11" t="str">
        <x:v>2026-07-13</x:v>
      </x:c>
      <x:c r="C97" s="11" t="str">
        <x:v>L4</x:v>
      </x:c>
      <x:c r="D97" s="11" t="str">
        <x:v>Etiquetado</x:v>
      </x:c>
      <x:c r="E97" s="11" t="str">
        <x:v>Vespertino</x:v>
      </x:c>
      <x:c r="F97" s="11" t="str">
        <x:v>P003</x:v>
      </x:c>
      <x:c r="G97" s="11" t="str">
        <x:v>Producto Gamma</x:v>
      </x:c>
      <x:c r="H97" s="11" t="n">
        <x:v>480</x:v>
      </x:c>
      <x:c r="I97" s="11" t="n">
        <x:v>22</x:v>
      </x:c>
      <x:c r="J97" s="11" t="n">
        <x:v>4</x:v>
      </x:c>
      <x:c r="K97" s="11" t="n">
        <x:v>454</x:v>
      </x:c>
      <x:c r="L97" s="11" t="n">
        <x:v>10</x:v>
      </x:c>
      <x:c r="M97" s="11" t="n">
        <x:v>4122</x:v>
      </x:c>
      <x:c r="N97" s="11" t="n">
        <x:v>4221</x:v>
      </x:c>
      <x:c r="O97" s="11" t="n">
        <x:v>3997</x:v>
      </x:c>
      <x:c r="P97" s="11" t="n">
        <x:v>224</x:v>
      </x:c>
    </x:row>
    <x:row r="98">
      <x:c r="A98" s="11" t="n">
        <x:v>97</x:v>
      </x:c>
      <x:c r="B98" s="11" t="str">
        <x:v>2026-07-14</x:v>
      </x:c>
      <x:c r="C98" s="11" t="str">
        <x:v>L1</x:v>
      </x:c>
      <x:c r="D98" s="11" t="str">
        <x:v>Envasado A</x:v>
      </x:c>
      <x:c r="E98" s="11" t="str">
        <x:v>Matutino</x:v>
      </x:c>
      <x:c r="F98" s="11" t="str">
        <x:v>P001</x:v>
      </x:c>
      <x:c r="G98" s="11" t="str">
        <x:v>Producto Alfa</x:v>
      </x:c>
      <x:c r="H98" s="11" t="n">
        <x:v>480</x:v>
      </x:c>
      <x:c r="I98" s="11" t="n">
        <x:v>29</x:v>
      </x:c>
      <x:c r="J98" s="11" t="n">
        <x:v>0</x:v>
      </x:c>
      <x:c r="K98" s="11" t="n">
        <x:v>451</x:v>
      </x:c>
      <x:c r="L98" s="11" t="n">
        <x:v>8</x:v>
      </x:c>
      <x:c r="M98" s="11" t="n">
        <x:v>3247</x:v>
      </x:c>
      <x:c r="N98" s="11" t="n">
        <x:v>2864</x:v>
      </x:c>
      <x:c r="O98" s="11" t="n">
        <x:v>2679</x:v>
      </x:c>
      <x:c r="P98" s="11" t="n">
        <x:v>185</x:v>
      </x:c>
    </x:row>
    <x:row r="99">
      <x:c r="A99" s="11" t="n">
        <x:v>98</x:v>
      </x:c>
      <x:c r="B99" s="11" t="str">
        <x:v>2026-07-14</x:v>
      </x:c>
      <x:c r="C99" s="11" t="str">
        <x:v>L1</x:v>
      </x:c>
      <x:c r="D99" s="11" t="str">
        <x:v>Envasado A</x:v>
      </x:c>
      <x:c r="E99" s="11" t="str">
        <x:v>Vespertino</x:v>
      </x:c>
      <x:c r="F99" s="11" t="str">
        <x:v>P002</x:v>
      </x:c>
      <x:c r="G99" s="11" t="str">
        <x:v>Producto Beta</x:v>
      </x:c>
      <x:c r="H99" s="11" t="n">
        <x:v>480</x:v>
      </x:c>
      <x:c r="I99" s="11" t="n">
        <x:v>34</x:v>
      </x:c>
      <x:c r="J99" s="11" t="n">
        <x:v>0</x:v>
      </x:c>
      <x:c r="K99" s="11" t="n">
        <x:v>446</x:v>
      </x:c>
      <x:c r="L99" s="11" t="n">
        <x:v>8</x:v>
      </x:c>
      <x:c r="M99" s="11" t="n">
        <x:v>3211</x:v>
      </x:c>
      <x:c r="N99" s="11" t="n">
        <x:v>3381</x:v>
      </x:c>
      <x:c r="O99" s="11" t="n">
        <x:v>3099</x:v>
      </x:c>
      <x:c r="P99" s="11" t="n">
        <x:v>282</x:v>
      </x:c>
    </x:row>
    <x:row r="100">
      <x:c r="A100" s="11" t="n">
        <x:v>99</x:v>
      </x:c>
      <x:c r="B100" s="11" t="str">
        <x:v>2026-07-14</x:v>
      </x:c>
      <x:c r="C100" s="11" t="str">
        <x:v>L2</x:v>
      </x:c>
      <x:c r="D100" s="11" t="str">
        <x:v>Envasado B</x:v>
      </x:c>
      <x:c r="E100" s="11" t="str">
        <x:v>Matutino</x:v>
      </x:c>
      <x:c r="F100" s="11" t="str">
        <x:v>P002</x:v>
      </x:c>
      <x:c r="G100" s="11" t="str">
        <x:v>Producto Beta</x:v>
      </x:c>
      <x:c r="H100" s="11" t="n">
        <x:v>480</x:v>
      </x:c>
      <x:c r="I100" s="11" t="n">
        <x:v>32</x:v>
      </x:c>
      <x:c r="J100" s="11" t="n">
        <x:v>15</x:v>
      </x:c>
      <x:c r="K100" s="11" t="n">
        <x:v>433</x:v>
      </x:c>
      <x:c r="L100" s="11" t="n">
        <x:v>7.5</x:v>
      </x:c>
      <x:c r="M100" s="11" t="n">
        <x:v>3024</x:v>
      </x:c>
      <x:c r="N100" s="11" t="n">
        <x:v>2983</x:v>
      </x:c>
      <x:c r="O100" s="11" t="n">
        <x:v>2829</x:v>
      </x:c>
      <x:c r="P100" s="11" t="n">
        <x:v>154</x:v>
      </x:c>
    </x:row>
    <x:row r="101">
      <x:c r="A101" s="11" t="n">
        <x:v>100</x:v>
      </x:c>
      <x:c r="B101" s="11" t="str">
        <x:v>2026-07-14</x:v>
      </x:c>
      <x:c r="C101" s="11" t="str">
        <x:v>L2</x:v>
      </x:c>
      <x:c r="D101" s="11" t="str">
        <x:v>Envasado B</x:v>
      </x:c>
      <x:c r="E101" s="11" t="str">
        <x:v>Vespertino</x:v>
      </x:c>
      <x:c r="F101" s="11" t="str">
        <x:v>P001</x:v>
      </x:c>
      <x:c r="G101" s="11" t="str">
        <x:v>Producto Alfa</x:v>
      </x:c>
      <x:c r="H101" s="11" t="n">
        <x:v>480</x:v>
      </x:c>
      <x:c r="I101" s="11" t="n">
        <x:v>35</x:v>
      </x:c>
      <x:c r="J101" s="11" t="n">
        <x:v>9</x:v>
      </x:c>
      <x:c r="K101" s="11" t="n">
        <x:v>436</x:v>
      </x:c>
      <x:c r="L101" s="11" t="n">
        <x:v>7.5</x:v>
      </x:c>
      <x:c r="M101" s="11" t="n">
        <x:v>3003</x:v>
      </x:c>
      <x:c r="N101" s="11" t="n">
        <x:v>2932</x:v>
      </x:c>
      <x:c r="O101" s="11" t="n">
        <x:v>2874</x:v>
      </x:c>
      <x:c r="P101" s="11" t="n">
        <x:v>58</x:v>
      </x:c>
    </x:row>
    <x:row r="102">
      <x:c r="A102" s="11" t="n">
        <x:v>101</x:v>
      </x:c>
      <x:c r="B102" s="11" t="str">
        <x:v>2026-07-14</x:v>
      </x:c>
      <x:c r="C102" s="11" t="str">
        <x:v>L3</x:v>
      </x:c>
      <x:c r="D102" s="11" t="str">
        <x:v>Empaque</x:v>
      </x:c>
      <x:c r="E102" s="11" t="str">
        <x:v>Matutino</x:v>
      </x:c>
      <x:c r="F102" s="11" t="str">
        <x:v>P002</x:v>
      </x:c>
      <x:c r="G102" s="11" t="str">
        <x:v>Producto Beta</x:v>
      </x:c>
      <x:c r="H102" s="11" t="n">
        <x:v>480</x:v>
      </x:c>
      <x:c r="I102" s="11" t="n">
        <x:v>35</x:v>
      </x:c>
      <x:c r="J102" s="11" t="n">
        <x:v>29</x:v>
      </x:c>
      <x:c r="K102" s="11" t="n">
        <x:v>416</x:v>
      </x:c>
      <x:c r="L102" s="11" t="n">
        <x:v>8.67</x:v>
      </x:c>
      <x:c r="M102" s="11" t="n">
        <x:v>3471</x:v>
      </x:c>
      <x:c r="N102" s="11" t="n">
        <x:v>3455</x:v>
      </x:c>
      <x:c r="O102" s="11" t="n">
        <x:v>3240</x:v>
      </x:c>
      <x:c r="P102" s="11" t="n">
        <x:v>215</x:v>
      </x:c>
    </x:row>
    <x:row r="103">
      <x:c r="A103" s="11" t="n">
        <x:v>102</x:v>
      </x:c>
      <x:c r="B103" s="11" t="str">
        <x:v>2026-07-14</x:v>
      </x:c>
      <x:c r="C103" s="11" t="str">
        <x:v>L3</x:v>
      </x:c>
      <x:c r="D103" s="11" t="str">
        <x:v>Empaque</x:v>
      </x:c>
      <x:c r="E103" s="11" t="str">
        <x:v>Vespertino</x:v>
      </x:c>
      <x:c r="F103" s="11" t="str">
        <x:v>P002</x:v>
      </x:c>
      <x:c r="G103" s="11" t="str">
        <x:v>Producto Beta</x:v>
      </x:c>
      <x:c r="H103" s="11" t="n">
        <x:v>480</x:v>
      </x:c>
      <x:c r="I103" s="11" t="n">
        <x:v>25</x:v>
      </x:c>
      <x:c r="J103" s="11" t="n">
        <x:v>12</x:v>
      </x:c>
      <x:c r="K103" s="11" t="n">
        <x:v>443</x:v>
      </x:c>
      <x:c r="L103" s="11" t="n">
        <x:v>8.67</x:v>
      </x:c>
      <x:c r="M103" s="11" t="n">
        <x:v>3549</x:v>
      </x:c>
      <x:c r="N103" s="11" t="n">
        <x:v>3549</x:v>
      </x:c>
      <x:c r="O103" s="11" t="n">
        <x:v>3325</x:v>
      </x:c>
      <x:c r="P103" s="11" t="n">
        <x:v>224</x:v>
      </x:c>
    </x:row>
    <x:row r="104">
      <x:c r="A104" s="11" t="n">
        <x:v>103</x:v>
      </x:c>
      <x:c r="B104" s="11" t="str">
        <x:v>2026-07-14</x:v>
      </x:c>
      <x:c r="C104" s="11" t="str">
        <x:v>L4</x:v>
      </x:c>
      <x:c r="D104" s="11" t="str">
        <x:v>Etiquetado</x:v>
      </x:c>
      <x:c r="E104" s="11" t="str">
        <x:v>Matutino</x:v>
      </x:c>
      <x:c r="F104" s="11" t="str">
        <x:v>P001</x:v>
      </x:c>
      <x:c r="G104" s="11" t="str">
        <x:v>Producto Alfa</x:v>
      </x:c>
      <x:c r="H104" s="11" t="n">
        <x:v>480</x:v>
      </x:c>
      <x:c r="I104" s="11" t="n">
        <x:v>22</x:v>
      </x:c>
      <x:c r="J104" s="11" t="n">
        <x:v>18</x:v>
      </x:c>
      <x:c r="K104" s="11" t="n">
        <x:v>440</x:v>
      </x:c>
      <x:c r="L104" s="11" t="n">
        <x:v>10</x:v>
      </x:c>
      <x:c r="M104" s="11" t="n">
        <x:v>4122</x:v>
      </x:c>
      <x:c r="N104" s="11" t="n">
        <x:v>4080</x:v>
      </x:c>
      <x:c r="O104" s="11" t="n">
        <x:v>3928</x:v>
      </x:c>
      <x:c r="P104" s="11" t="n">
        <x:v>152</x:v>
      </x:c>
    </x:row>
    <x:row r="105">
      <x:c r="A105" s="11" t="n">
        <x:v>104</x:v>
      </x:c>
      <x:c r="B105" s="11" t="str">
        <x:v>2026-07-14</x:v>
      </x:c>
      <x:c r="C105" s="11" t="str">
        <x:v>L4</x:v>
      </x:c>
      <x:c r="D105" s="11" t="str">
        <x:v>Etiquetado</x:v>
      </x:c>
      <x:c r="E105" s="11" t="str">
        <x:v>Vespertino</x:v>
      </x:c>
      <x:c r="F105" s="11" t="str">
        <x:v>P002</x:v>
      </x:c>
      <x:c r="G105" s="11" t="str">
        <x:v>Producto Beta</x:v>
      </x:c>
      <x:c r="H105" s="11" t="n">
        <x:v>480</x:v>
      </x:c>
      <x:c r="I105" s="11" t="n">
        <x:v>32</x:v>
      </x:c>
      <x:c r="J105" s="11" t="n">
        <x:v>50</x:v>
      </x:c>
      <x:c r="K105" s="11" t="n">
        <x:v>398</x:v>
      </x:c>
      <x:c r="L105" s="11" t="n">
        <x:v>10</x:v>
      </x:c>
      <x:c r="M105" s="11" t="n">
        <x:v>4032</x:v>
      </x:c>
      <x:c r="N105" s="11" t="n">
        <x:v>3559</x:v>
      </x:c>
      <x:c r="O105" s="11" t="n">
        <x:v>3348</x:v>
      </x:c>
      <x:c r="P105" s="11" t="n">
        <x:v>211</x:v>
      </x:c>
    </x:row>
    <x:row r="106">
      <x:c r="A106" s="11" t="n">
        <x:v>105</x:v>
      </x:c>
      <x:c r="B106" s="11" t="str">
        <x:v>2026-07-15</x:v>
      </x:c>
      <x:c r="C106" s="11" t="str">
        <x:v>L1</x:v>
      </x:c>
      <x:c r="D106" s="11" t="str">
        <x:v>Envasado A</x:v>
      </x:c>
      <x:c r="E106" s="11" t="str">
        <x:v>Matutino</x:v>
      </x:c>
      <x:c r="F106" s="11" t="str">
        <x:v>P002</x:v>
      </x:c>
      <x:c r="G106" s="11" t="str">
        <x:v>Producto Beta</x:v>
      </x:c>
      <x:c r="H106" s="11" t="n">
        <x:v>480</x:v>
      </x:c>
      <x:c r="I106" s="11" t="n">
        <x:v>27</x:v>
      </x:c>
      <x:c r="J106" s="11" t="n">
        <x:v>52</x:v>
      </x:c>
      <x:c r="K106" s="11" t="n">
        <x:v>401</x:v>
      </x:c>
      <x:c r="L106" s="11" t="n">
        <x:v>8</x:v>
      </x:c>
      <x:c r="M106" s="11" t="n">
        <x:v>3261</x:v>
      </x:c>
      <x:c r="N106" s="11" t="n">
        <x:v>2811</x:v>
      </x:c>
      <x:c r="O106" s="11" t="n">
        <x:v>2620</x:v>
      </x:c>
      <x:c r="P106" s="11" t="n">
        <x:v>191</x:v>
      </x:c>
    </x:row>
    <x:row r="107">
      <x:c r="A107" s="11" t="n">
        <x:v>106</x:v>
      </x:c>
      <x:c r="B107" s="11" t="str">
        <x:v>2026-07-15</x:v>
      </x:c>
      <x:c r="C107" s="11" t="str">
        <x:v>L1</x:v>
      </x:c>
      <x:c r="D107" s="11" t="str">
        <x:v>Envasado A</x:v>
      </x:c>
      <x:c r="E107" s="11" t="str">
        <x:v>Vespertino</x:v>
      </x:c>
      <x:c r="F107" s="11" t="str">
        <x:v>P003</x:v>
      </x:c>
      <x:c r="G107" s="11" t="str">
        <x:v>Producto Gamma</x:v>
      </x:c>
      <x:c r="H107" s="11" t="n">
        <x:v>480</x:v>
      </x:c>
      <x:c r="I107" s="11" t="n">
        <x:v>27</x:v>
      </x:c>
      <x:c r="J107" s="11" t="n">
        <x:v>0</x:v>
      </x:c>
      <x:c r="K107" s="11" t="n">
        <x:v>453</x:v>
      </x:c>
      <x:c r="L107" s="11" t="n">
        <x:v>8</x:v>
      </x:c>
      <x:c r="M107" s="11" t="n">
        <x:v>3261</x:v>
      </x:c>
      <x:c r="N107" s="11" t="n">
        <x:v>2911</x:v>
      </x:c>
      <x:c r="O107" s="11" t="n">
        <x:v>2777</x:v>
      </x:c>
      <x:c r="P107" s="11" t="n">
        <x:v>134</x:v>
      </x:c>
    </x:row>
    <x:row r="108">
      <x:c r="A108" s="11" t="n">
        <x:v>107</x:v>
      </x:c>
      <x:c r="B108" s="11" t="str">
        <x:v>2026-07-15</x:v>
      </x:c>
      <x:c r="C108" s="11" t="str">
        <x:v>L2</x:v>
      </x:c>
      <x:c r="D108" s="11" t="str">
        <x:v>Envasado B</x:v>
      </x:c>
      <x:c r="E108" s="11" t="str">
        <x:v>Matutino</x:v>
      </x:c>
      <x:c r="F108" s="11" t="str">
        <x:v>P002</x:v>
      </x:c>
      <x:c r="G108" s="11" t="str">
        <x:v>Producto Beta</x:v>
      </x:c>
      <x:c r="H108" s="11" t="n">
        <x:v>480</x:v>
      </x:c>
      <x:c r="I108" s="11" t="n">
        <x:v>27</x:v>
      </x:c>
      <x:c r="J108" s="11" t="n">
        <x:v>60</x:v>
      </x:c>
      <x:c r="K108" s="11" t="n">
        <x:v>393</x:v>
      </x:c>
      <x:c r="L108" s="11" t="n">
        <x:v>7.5</x:v>
      </x:c>
      <x:c r="M108" s="11" t="n">
        <x:v>3057</x:v>
      </x:c>
      <x:c r="N108" s="11" t="n">
        <x:v>2420</x:v>
      </x:c>
      <x:c r="O108" s="11" t="n">
        <x:v>2232</x:v>
      </x:c>
      <x:c r="P108" s="11" t="n">
        <x:v>188</x:v>
      </x:c>
    </x:row>
    <x:row r="109">
      <x:c r="A109" s="11" t="n">
        <x:v>108</x:v>
      </x:c>
      <x:c r="B109" s="11" t="str">
        <x:v>2026-07-15</x:v>
      </x:c>
      <x:c r="C109" s="11" t="str">
        <x:v>L2</x:v>
      </x:c>
      <x:c r="D109" s="11" t="str">
        <x:v>Envasado B</x:v>
      </x:c>
      <x:c r="E109" s="11" t="str">
        <x:v>Vespertino</x:v>
      </x:c>
      <x:c r="F109" s="11" t="str">
        <x:v>P003</x:v>
      </x:c>
      <x:c r="G109" s="11" t="str">
        <x:v>Producto Gamma</x:v>
      </x:c>
      <x:c r="H109" s="11" t="n">
        <x:v>480</x:v>
      </x:c>
      <x:c r="I109" s="11" t="n">
        <x:v>34</x:v>
      </x:c>
      <x:c r="J109" s="11" t="n">
        <x:v>45</x:v>
      </x:c>
      <x:c r="K109" s="11" t="n">
        <x:v>401</x:v>
      </x:c>
      <x:c r="L109" s="11" t="n">
        <x:v>7.5</x:v>
      </x:c>
      <x:c r="M109" s="11" t="n">
        <x:v>3010</x:v>
      </x:c>
      <x:c r="N109" s="11" t="n">
        <x:v>2862</x:v>
      </x:c>
      <x:c r="O109" s="11" t="n">
        <x:v>2695</x:v>
      </x:c>
      <x:c r="P109" s="11" t="n">
        <x:v>167</x:v>
      </x:c>
    </x:row>
    <x:row r="110">
      <x:c r="A110" s="11" t="n">
        <x:v>109</x:v>
      </x:c>
      <x:c r="B110" s="11" t="str">
        <x:v>2026-07-15</x:v>
      </x:c>
      <x:c r="C110" s="11" t="str">
        <x:v>L3</x:v>
      </x:c>
      <x:c r="D110" s="11" t="str">
        <x:v>Empaque</x:v>
      </x:c>
      <x:c r="E110" s="11" t="str">
        <x:v>Matutino</x:v>
      </x:c>
      <x:c r="F110" s="11" t="str">
        <x:v>P002</x:v>
      </x:c>
      <x:c r="G110" s="11" t="str">
        <x:v>Producto Beta</x:v>
      </x:c>
      <x:c r="H110" s="11" t="n">
        <x:v>480</x:v>
      </x:c>
      <x:c r="I110" s="11" t="n">
        <x:v>28</x:v>
      </x:c>
      <x:c r="J110" s="11" t="n">
        <x:v>6</x:v>
      </x:c>
      <x:c r="K110" s="11" t="n">
        <x:v>446</x:v>
      </x:c>
      <x:c r="L110" s="11" t="n">
        <x:v>8.67</x:v>
      </x:c>
      <x:c r="M110" s="11" t="n">
        <x:v>3525</x:v>
      </x:c>
      <x:c r="N110" s="11" t="n">
        <x:v>3533</x:v>
      </x:c>
      <x:c r="O110" s="11" t="n">
        <x:v>3284</x:v>
      </x:c>
      <x:c r="P110" s="11" t="n">
        <x:v>249</x:v>
      </x:c>
    </x:row>
    <x:row r="111">
      <x:c r="A111" s="11" t="n">
        <x:v>110</x:v>
      </x:c>
      <x:c r="B111" s="11" t="str">
        <x:v>2026-07-15</x:v>
      </x:c>
      <x:c r="C111" s="11" t="str">
        <x:v>L3</x:v>
      </x:c>
      <x:c r="D111" s="11" t="str">
        <x:v>Empaque</x:v>
      </x:c>
      <x:c r="E111" s="11" t="str">
        <x:v>Vespertino</x:v>
      </x:c>
      <x:c r="F111" s="11" t="str">
        <x:v>P003</x:v>
      </x:c>
      <x:c r="G111" s="11" t="str">
        <x:v>Producto Gamma</x:v>
      </x:c>
      <x:c r="H111" s="11" t="n">
        <x:v>480</x:v>
      </x:c>
      <x:c r="I111" s="11" t="n">
        <x:v>20</x:v>
      </x:c>
      <x:c r="J111" s="11" t="n">
        <x:v>0</x:v>
      </x:c>
      <x:c r="K111" s="11" t="n">
        <x:v>460</x:v>
      </x:c>
      <x:c r="L111" s="11" t="n">
        <x:v>8.67</x:v>
      </x:c>
      <x:c r="M111" s="11" t="n">
        <x:v>3588</x:v>
      </x:c>
      <x:c r="N111" s="11" t="n">
        <x:v>3844</x:v>
      </x:c>
      <x:c r="O111" s="11" t="n">
        <x:v>3564</x:v>
      </x:c>
      <x:c r="P111" s="11" t="n">
        <x:v>280</x:v>
      </x:c>
    </x:row>
    <x:row r="112">
      <x:c r="A112" s="11" t="n">
        <x:v>111</x:v>
      </x:c>
      <x:c r="B112" s="11" t="str">
        <x:v>2026-07-15</x:v>
      </x:c>
      <x:c r="C112" s="11" t="str">
        <x:v>L4</x:v>
      </x:c>
      <x:c r="D112" s="11" t="str">
        <x:v>Etiquetado</x:v>
      </x:c>
      <x:c r="E112" s="11" t="str">
        <x:v>Matutino</x:v>
      </x:c>
      <x:c r="F112" s="11" t="str">
        <x:v>P003</x:v>
      </x:c>
      <x:c r="G112" s="11" t="str">
        <x:v>Producto Gamma</x:v>
      </x:c>
      <x:c r="H112" s="11" t="n">
        <x:v>480</x:v>
      </x:c>
      <x:c r="I112" s="11" t="n">
        <x:v>32</x:v>
      </x:c>
      <x:c r="J112" s="11" t="n">
        <x:v>49</x:v>
      </x:c>
      <x:c r="K112" s="11" t="n">
        <x:v>399</x:v>
      </x:c>
      <x:c r="L112" s="11" t="n">
        <x:v>10</x:v>
      </x:c>
      <x:c r="M112" s="11" t="n">
        <x:v>4032</x:v>
      </x:c>
      <x:c r="N112" s="11" t="n">
        <x:v>3661</x:v>
      </x:c>
      <x:c r="O112" s="11" t="n">
        <x:v>3468</x:v>
      </x:c>
      <x:c r="P112" s="11" t="n">
        <x:v>193</x:v>
      </x:c>
    </x:row>
    <x:row r="113">
      <x:c r="A113" s="11" t="n">
        <x:v>112</x:v>
      </x:c>
      <x:c r="B113" s="11" t="str">
        <x:v>2026-07-15</x:v>
      </x:c>
      <x:c r="C113" s="11" t="str">
        <x:v>L4</x:v>
      </x:c>
      <x:c r="D113" s="11" t="str">
        <x:v>Etiquetado</x:v>
      </x:c>
      <x:c r="E113" s="11" t="str">
        <x:v>Vespertino</x:v>
      </x:c>
      <x:c r="F113" s="11" t="str">
        <x:v>P003</x:v>
      </x:c>
      <x:c r="G113" s="11" t="str">
        <x:v>Producto Gamma</x:v>
      </x:c>
      <x:c r="H113" s="11" t="n">
        <x:v>480</x:v>
      </x:c>
      <x:c r="I113" s="11" t="n">
        <x:v>28</x:v>
      </x:c>
      <x:c r="J113" s="11" t="n">
        <x:v>25</x:v>
      </x:c>
      <x:c r="K113" s="11" t="n">
        <x:v>427</x:v>
      </x:c>
      <x:c r="L113" s="11" t="n">
        <x:v>10</x:v>
      </x:c>
      <x:c r="M113" s="11" t="n">
        <x:v>4068</x:v>
      </x:c>
      <x:c r="N113" s="11" t="n">
        <x:v>4026</x:v>
      </x:c>
      <x:c r="O113" s="11" t="n">
        <x:v>3865</x:v>
      </x:c>
      <x:c r="P113" s="11" t="n">
        <x:v>161</x:v>
      </x:c>
    </x:row>
    <x:row r="114">
      <x:c r="A114" s="11" t="n">
        <x:v>113</x:v>
      </x:c>
      <x:c r="B114" s="11" t="str">
        <x:v>2026-07-16</x:v>
      </x:c>
      <x:c r="C114" s="11" t="str">
        <x:v>L1</x:v>
      </x:c>
      <x:c r="D114" s="11" t="str">
        <x:v>Envasado A</x:v>
      </x:c>
      <x:c r="E114" s="11" t="str">
        <x:v>Matutino</x:v>
      </x:c>
      <x:c r="F114" s="11" t="str">
        <x:v>P001</x:v>
      </x:c>
      <x:c r="G114" s="11" t="str">
        <x:v>Producto Alfa</x:v>
      </x:c>
      <x:c r="H114" s="11" t="n">
        <x:v>480</x:v>
      </x:c>
      <x:c r="I114" s="11" t="n">
        <x:v>23</x:v>
      </x:c>
      <x:c r="J114" s="11" t="n">
        <x:v>16</x:v>
      </x:c>
      <x:c r="K114" s="11" t="n">
        <x:v>441</x:v>
      </x:c>
      <x:c r="L114" s="11" t="n">
        <x:v>8</x:v>
      </x:c>
      <x:c r="M114" s="11" t="n">
        <x:v>3290</x:v>
      </x:c>
      <x:c r="N114" s="11" t="n">
        <x:v>3285</x:v>
      </x:c>
      <x:c r="O114" s="11" t="n">
        <x:v>3122</x:v>
      </x:c>
      <x:c r="P114" s="11" t="n">
        <x:v>163</x:v>
      </x:c>
    </x:row>
    <x:row r="115">
      <x:c r="A115" s="11" t="n">
        <x:v>114</x:v>
      </x:c>
      <x:c r="B115" s="11" t="str">
        <x:v>2026-07-16</x:v>
      </x:c>
      <x:c r="C115" s="11" t="str">
        <x:v>L1</x:v>
      </x:c>
      <x:c r="D115" s="11" t="str">
        <x:v>Envasado A</x:v>
      </x:c>
      <x:c r="E115" s="11" t="str">
        <x:v>Vespertino</x:v>
      </x:c>
      <x:c r="F115" s="11" t="str">
        <x:v>P002</x:v>
      </x:c>
      <x:c r="G115" s="11" t="str">
        <x:v>Producto Beta</x:v>
      </x:c>
      <x:c r="H115" s="11" t="n">
        <x:v>480</x:v>
      </x:c>
      <x:c r="I115" s="11" t="n">
        <x:v>23</x:v>
      </x:c>
      <x:c r="J115" s="11" t="n">
        <x:v>60</x:v>
      </x:c>
      <x:c r="K115" s="11" t="n">
        <x:v>397</x:v>
      </x:c>
      <x:c r="L115" s="11" t="n">
        <x:v>8</x:v>
      </x:c>
      <x:c r="M115" s="11" t="n">
        <x:v>3290</x:v>
      </x:c>
      <x:c r="N115" s="11" t="n">
        <x:v>2893</x:v>
      </x:c>
      <x:c r="O115" s="11" t="n">
        <x:v>2653</x:v>
      </x:c>
      <x:c r="P115" s="11" t="n">
        <x:v>240</x:v>
      </x:c>
    </x:row>
    <x:row r="116">
      <x:c r="A116" s="11" t="n">
        <x:v>115</x:v>
      </x:c>
      <x:c r="B116" s="11" t="str">
        <x:v>2026-07-16</x:v>
      </x:c>
      <x:c r="C116" s="11" t="str">
        <x:v>L2</x:v>
      </x:c>
      <x:c r="D116" s="11" t="str">
        <x:v>Envasado B</x:v>
      </x:c>
      <x:c r="E116" s="11" t="str">
        <x:v>Matutino</x:v>
      </x:c>
      <x:c r="F116" s="11" t="str">
        <x:v>P002</x:v>
      </x:c>
      <x:c r="G116" s="11" t="str">
        <x:v>Producto Beta</x:v>
      </x:c>
      <x:c r="H116" s="11" t="n">
        <x:v>480</x:v>
      </x:c>
      <x:c r="I116" s="11" t="n">
        <x:v>17</x:v>
      </x:c>
      <x:c r="J116" s="11" t="n">
        <x:v>0</x:v>
      </x:c>
      <x:c r="K116" s="11" t="n">
        <x:v>463</x:v>
      </x:c>
      <x:c r="L116" s="11" t="n">
        <x:v>7.5</x:v>
      </x:c>
      <x:c r="M116" s="11" t="n">
        <x:v>3125</x:v>
      </x:c>
      <x:c r="N116" s="11" t="n">
        <x:v>3208</x:v>
      </x:c>
      <x:c r="O116" s="11" t="n">
        <x:v>3105</x:v>
      </x:c>
      <x:c r="P116" s="11" t="n">
        <x:v>103</x:v>
      </x:c>
    </x:row>
    <x:row r="117">
      <x:c r="A117" s="11" t="n">
        <x:v>116</x:v>
      </x:c>
      <x:c r="B117" s="11" t="str">
        <x:v>2026-07-16</x:v>
      </x:c>
      <x:c r="C117" s="11" t="str">
        <x:v>L2</x:v>
      </x:c>
      <x:c r="D117" s="11" t="str">
        <x:v>Envasado B</x:v>
      </x:c>
      <x:c r="E117" s="11" t="str">
        <x:v>Vespertino</x:v>
      </x:c>
      <x:c r="F117" s="11" t="str">
        <x:v>P001</x:v>
      </x:c>
      <x:c r="G117" s="11" t="str">
        <x:v>Producto Alfa</x:v>
      </x:c>
      <x:c r="H117" s="11" t="n">
        <x:v>480</x:v>
      </x:c>
      <x:c r="I117" s="11" t="n">
        <x:v>35</x:v>
      </x:c>
      <x:c r="J117" s="11" t="n">
        <x:v>45</x:v>
      </x:c>
      <x:c r="K117" s="11" t="n">
        <x:v>400</x:v>
      </x:c>
      <x:c r="L117" s="11" t="n">
        <x:v>7.5</x:v>
      </x:c>
      <x:c r="M117" s="11" t="n">
        <x:v>3003</x:v>
      </x:c>
      <x:c r="N117" s="11" t="n">
        <x:v>3037</x:v>
      </x:c>
      <x:c r="O117" s="11" t="n">
        <x:v>2953</x:v>
      </x:c>
      <x:c r="P117" s="11" t="n">
        <x:v>84</x:v>
      </x:c>
    </x:row>
    <x:row r="118">
      <x:c r="A118" s="11" t="n">
        <x:v>117</x:v>
      </x:c>
      <x:c r="B118" s="11" t="str">
        <x:v>2026-07-16</x:v>
      </x:c>
      <x:c r="C118" s="11" t="str">
        <x:v>L3</x:v>
      </x:c>
      <x:c r="D118" s="11" t="str">
        <x:v>Empaque</x:v>
      </x:c>
      <x:c r="E118" s="11" t="str">
        <x:v>Matutino</x:v>
      </x:c>
      <x:c r="F118" s="11" t="str">
        <x:v>P001</x:v>
      </x:c>
      <x:c r="G118" s="11" t="str">
        <x:v>Producto Alfa</x:v>
      </x:c>
      <x:c r="H118" s="11" t="n">
        <x:v>480</x:v>
      </x:c>
      <x:c r="I118" s="11" t="n">
        <x:v>15</x:v>
      </x:c>
      <x:c r="J118" s="11" t="n">
        <x:v>41</x:v>
      </x:c>
      <x:c r="K118" s="11" t="n">
        <x:v>424</x:v>
      </x:c>
      <x:c r="L118" s="11" t="n">
        <x:v>8.67</x:v>
      </x:c>
      <x:c r="M118" s="11" t="n">
        <x:v>3626</x:v>
      </x:c>
      <x:c r="N118" s="11" t="n">
        <x:v>3309</x:v>
      </x:c>
      <x:c r="O118" s="11" t="n">
        <x:v>3199</x:v>
      </x:c>
      <x:c r="P118" s="11" t="n">
        <x:v>110</x:v>
      </x:c>
    </x:row>
    <x:row r="119">
      <x:c r="A119" s="11" t="n">
        <x:v>118</x:v>
      </x:c>
      <x:c r="B119" s="11" t="str">
        <x:v>2026-07-16</x:v>
      </x:c>
      <x:c r="C119" s="11" t="str">
        <x:v>L3</x:v>
      </x:c>
      <x:c r="D119" s="11" t="str">
        <x:v>Empaque</x:v>
      </x:c>
      <x:c r="E119" s="11" t="str">
        <x:v>Vespertino</x:v>
      </x:c>
      <x:c r="F119" s="11" t="str">
        <x:v>P001</x:v>
      </x:c>
      <x:c r="G119" s="11" t="str">
        <x:v>Producto Alfa</x:v>
      </x:c>
      <x:c r="H119" s="11" t="n">
        <x:v>480</x:v>
      </x:c>
      <x:c r="I119" s="11" t="n">
        <x:v>30</x:v>
      </x:c>
      <x:c r="J119" s="11" t="n">
        <x:v>29</x:v>
      </x:c>
      <x:c r="K119" s="11" t="n">
        <x:v>421</x:v>
      </x:c>
      <x:c r="L119" s="11" t="n">
        <x:v>8.67</x:v>
      </x:c>
      <x:c r="M119" s="11" t="n">
        <x:v>3509</x:v>
      </x:c>
      <x:c r="N119" s="11" t="n">
        <x:v>3217</x:v>
      </x:c>
      <x:c r="O119" s="11" t="n">
        <x:v>3044</x:v>
      </x:c>
      <x:c r="P119" s="11" t="n">
        <x:v>173</x:v>
      </x:c>
    </x:row>
    <x:row r="120">
      <x:c r="A120" s="11" t="n">
        <x:v>119</x:v>
      </x:c>
      <x:c r="B120" s="11" t="str">
        <x:v>2026-07-16</x:v>
      </x:c>
      <x:c r="C120" s="11" t="str">
        <x:v>L4</x:v>
      </x:c>
      <x:c r="D120" s="11" t="str">
        <x:v>Etiquetado</x:v>
      </x:c>
      <x:c r="E120" s="11" t="str">
        <x:v>Matutino</x:v>
      </x:c>
      <x:c r="F120" s="11" t="str">
        <x:v>P001</x:v>
      </x:c>
      <x:c r="G120" s="11" t="str">
        <x:v>Producto Alfa</x:v>
      </x:c>
      <x:c r="H120" s="11" t="n">
        <x:v>480</x:v>
      </x:c>
      <x:c r="I120" s="11" t="n">
        <x:v>29</x:v>
      </x:c>
      <x:c r="J120" s="11" t="n">
        <x:v>16</x:v>
      </x:c>
      <x:c r="K120" s="11" t="n">
        <x:v>435</x:v>
      </x:c>
      <x:c r="L120" s="11" t="n">
        <x:v>10</x:v>
      </x:c>
      <x:c r="M120" s="11" t="n">
        <x:v>4059</x:v>
      </x:c>
      <x:c r="N120" s="11" t="n">
        <x:v>3641</x:v>
      </x:c>
      <x:c r="O120" s="11" t="n">
        <x:v>3524</x:v>
      </x:c>
      <x:c r="P120" s="11" t="n">
        <x:v>117</x:v>
      </x:c>
    </x:row>
    <x:row r="121">
      <x:c r="A121" s="11" t="n">
        <x:v>120</x:v>
      </x:c>
      <x:c r="B121" s="11" t="str">
        <x:v>2026-07-16</x:v>
      </x:c>
      <x:c r="C121" s="11" t="str">
        <x:v>L4</x:v>
      </x:c>
      <x:c r="D121" s="11" t="str">
        <x:v>Etiquetado</x:v>
      </x:c>
      <x:c r="E121" s="11" t="str">
        <x:v>Vespertino</x:v>
      </x:c>
      <x:c r="F121" s="11" t="str">
        <x:v>P003</x:v>
      </x:c>
      <x:c r="G121" s="11" t="str">
        <x:v>Producto Gamma</x:v>
      </x:c>
      <x:c r="H121" s="11" t="n">
        <x:v>480</x:v>
      </x:c>
      <x:c r="I121" s="11" t="n">
        <x:v>18</x:v>
      </x:c>
      <x:c r="J121" s="11" t="n">
        <x:v>54</x:v>
      </x:c>
      <x:c r="K121" s="11" t="n">
        <x:v>408</x:v>
      </x:c>
      <x:c r="L121" s="11" t="n">
        <x:v>10</x:v>
      </x:c>
      <x:c r="M121" s="11" t="n">
        <x:v>4158</x:v>
      </x:c>
      <x:c r="N121" s="11" t="n">
        <x:v>3731</x:v>
      </x:c>
      <x:c r="O121" s="11" t="n">
        <x:v>3518</x:v>
      </x:c>
      <x:c r="P121" s="11" t="n">
        <x:v>213</x:v>
      </x:c>
    </x:row>
    <x:row r="122">
      <x:c r="A122" s="11" t="n">
        <x:v>121</x:v>
      </x:c>
      <x:c r="B122" s="11" t="str">
        <x:v>2026-07-17</x:v>
      </x:c>
      <x:c r="C122" s="11" t="str">
        <x:v>L1</x:v>
      </x:c>
      <x:c r="D122" s="11" t="str">
        <x:v>Envasado A</x:v>
      </x:c>
      <x:c r="E122" s="11" t="str">
        <x:v>Matutino</x:v>
      </x:c>
      <x:c r="F122" s="11" t="str">
        <x:v>P002</x:v>
      </x:c>
      <x:c r="G122" s="11" t="str">
        <x:v>Producto Beta</x:v>
      </x:c>
      <x:c r="H122" s="11" t="n">
        <x:v>480</x:v>
      </x:c>
      <x:c r="I122" s="11" t="n">
        <x:v>18</x:v>
      </x:c>
      <x:c r="J122" s="11" t="n">
        <x:v>0</x:v>
      </x:c>
      <x:c r="K122" s="11" t="n">
        <x:v>462</x:v>
      </x:c>
      <x:c r="L122" s="11" t="n">
        <x:v>8</x:v>
      </x:c>
      <x:c r="M122" s="11" t="n">
        <x:v>3326</x:v>
      </x:c>
      <x:c r="N122" s="11" t="n">
        <x:v>3181</x:v>
      </x:c>
      <x:c r="O122" s="11" t="n">
        <x:v>2916</x:v>
      </x:c>
      <x:c r="P122" s="11" t="n">
        <x:v>265</x:v>
      </x:c>
    </x:row>
    <x:row r="123">
      <x:c r="A123" s="11" t="n">
        <x:v>122</x:v>
      </x:c>
      <x:c r="B123" s="11" t="str">
        <x:v>2026-07-17</x:v>
      </x:c>
      <x:c r="C123" s="11" t="str">
        <x:v>L1</x:v>
      </x:c>
      <x:c r="D123" s="11" t="str">
        <x:v>Envasado A</x:v>
      </x:c>
      <x:c r="E123" s="11" t="str">
        <x:v>Vespertino</x:v>
      </x:c>
      <x:c r="F123" s="11" t="str">
        <x:v>P002</x:v>
      </x:c>
      <x:c r="G123" s="11" t="str">
        <x:v>Producto Beta</x:v>
      </x:c>
      <x:c r="H123" s="11" t="n">
        <x:v>480</x:v>
      </x:c>
      <x:c r="I123" s="11" t="n">
        <x:v>27</x:v>
      </x:c>
      <x:c r="J123" s="11" t="n">
        <x:v>5</x:v>
      </x:c>
      <x:c r="K123" s="11" t="n">
        <x:v>448</x:v>
      </x:c>
      <x:c r="L123" s="11" t="n">
        <x:v>8</x:v>
      </x:c>
      <x:c r="M123" s="11" t="n">
        <x:v>3261</x:v>
      </x:c>
      <x:c r="N123" s="11" t="n">
        <x:v>3361</x:v>
      </x:c>
      <x:c r="O123" s="11" t="n">
        <x:v>3149</x:v>
      </x:c>
      <x:c r="P123" s="11" t="n">
        <x:v>212</x:v>
      </x:c>
    </x:row>
    <x:row r="124">
      <x:c r="A124" s="11" t="n">
        <x:v>123</x:v>
      </x:c>
      <x:c r="B124" s="11" t="str">
        <x:v>2026-07-17</x:v>
      </x:c>
      <x:c r="C124" s="11" t="str">
        <x:v>L2</x:v>
      </x:c>
      <x:c r="D124" s="11" t="str">
        <x:v>Envasado B</x:v>
      </x:c>
      <x:c r="E124" s="11" t="str">
        <x:v>Matutino</x:v>
      </x:c>
      <x:c r="F124" s="11" t="str">
        <x:v>P003</x:v>
      </x:c>
      <x:c r="G124" s="11" t="str">
        <x:v>Producto Gamma</x:v>
      </x:c>
      <x:c r="H124" s="11" t="n">
        <x:v>480</x:v>
      </x:c>
      <x:c r="I124" s="11" t="n">
        <x:v>35</x:v>
      </x:c>
      <x:c r="J124" s="11" t="n">
        <x:v>29</x:v>
      </x:c>
      <x:c r="K124" s="11" t="n">
        <x:v>416</x:v>
      </x:c>
      <x:c r="L124" s="11" t="n">
        <x:v>7.5</x:v>
      </x:c>
      <x:c r="M124" s="11" t="n">
        <x:v>3003</x:v>
      </x:c>
      <x:c r="N124" s="11" t="n">
        <x:v>3056</x:v>
      </x:c>
      <x:c r="O124" s="11" t="n">
        <x:v>2885</x:v>
      </x:c>
      <x:c r="P124" s="11" t="n">
        <x:v>171</x:v>
      </x:c>
    </x:row>
    <x:row r="125">
      <x:c r="A125" s="11" t="n">
        <x:v>124</x:v>
      </x:c>
      <x:c r="B125" s="11" t="str">
        <x:v>2026-07-17</x:v>
      </x:c>
      <x:c r="C125" s="11" t="str">
        <x:v>L2</x:v>
      </x:c>
      <x:c r="D125" s="11" t="str">
        <x:v>Envasado B</x:v>
      </x:c>
      <x:c r="E125" s="11" t="str">
        <x:v>Vespertino</x:v>
      </x:c>
      <x:c r="F125" s="11" t="str">
        <x:v>P001</x:v>
      </x:c>
      <x:c r="G125" s="11" t="str">
        <x:v>Producto Alfa</x:v>
      </x:c>
      <x:c r="H125" s="11" t="n">
        <x:v>480</x:v>
      </x:c>
      <x:c r="I125" s="11" t="n">
        <x:v>33</x:v>
      </x:c>
      <x:c r="J125" s="11" t="n">
        <x:v>59</x:v>
      </x:c>
      <x:c r="K125" s="11" t="n">
        <x:v>388</x:v>
      </x:c>
      <x:c r="L125" s="11" t="n">
        <x:v>7.5</x:v>
      </x:c>
      <x:c r="M125" s="11" t="n">
        <x:v>3017</x:v>
      </x:c>
      <x:c r="N125" s="11" t="n">
        <x:v>2672</x:v>
      </x:c>
      <x:c r="O125" s="11" t="n">
        <x:v>2536</x:v>
      </x:c>
      <x:c r="P125" s="11" t="n">
        <x:v>136</x:v>
      </x:c>
    </x:row>
    <x:row r="126">
      <x:c r="A126" s="11" t="n">
        <x:v>125</x:v>
      </x:c>
      <x:c r="B126" s="11" t="str">
        <x:v>2026-07-17</x:v>
      </x:c>
      <x:c r="C126" s="11" t="str">
        <x:v>L3</x:v>
      </x:c>
      <x:c r="D126" s="11" t="str">
        <x:v>Empaque</x:v>
      </x:c>
      <x:c r="E126" s="11" t="str">
        <x:v>Matutino</x:v>
      </x:c>
      <x:c r="F126" s="11" t="str">
        <x:v>P002</x:v>
      </x:c>
      <x:c r="G126" s="11" t="str">
        <x:v>Producto Beta</x:v>
      </x:c>
      <x:c r="H126" s="11" t="n">
        <x:v>480</x:v>
      </x:c>
      <x:c r="I126" s="11" t="n">
        <x:v>26</x:v>
      </x:c>
      <x:c r="J126" s="11" t="n">
        <x:v>56</x:v>
      </x:c>
      <x:c r="K126" s="11" t="n">
        <x:v>398</x:v>
      </x:c>
      <x:c r="L126" s="11" t="n">
        <x:v>8.67</x:v>
      </x:c>
      <x:c r="M126" s="11" t="n">
        <x:v>3541</x:v>
      </x:c>
      <x:c r="N126" s="11" t="n">
        <x:v>3233</x:v>
      </x:c>
      <x:c r="O126" s="11" t="n">
        <x:v>3079</x:v>
      </x:c>
      <x:c r="P126" s="11" t="n">
        <x:v>154</x:v>
      </x:c>
    </x:row>
    <x:row r="127">
      <x:c r="A127" s="11" t="n">
        <x:v>126</x:v>
      </x:c>
      <x:c r="B127" s="11" t="str">
        <x:v>2026-07-17</x:v>
      </x:c>
      <x:c r="C127" s="11" t="str">
        <x:v>L3</x:v>
      </x:c>
      <x:c r="D127" s="11" t="str">
        <x:v>Empaque</x:v>
      </x:c>
      <x:c r="E127" s="11" t="str">
        <x:v>Vespertino</x:v>
      </x:c>
      <x:c r="F127" s="11" t="str">
        <x:v>P002</x:v>
      </x:c>
      <x:c r="G127" s="11" t="str">
        <x:v>Producto Beta</x:v>
      </x:c>
      <x:c r="H127" s="11" t="n">
        <x:v>480</x:v>
      </x:c>
      <x:c r="I127" s="11" t="n">
        <x:v>18</x:v>
      </x:c>
      <x:c r="J127" s="11" t="n">
        <x:v>29</x:v>
      </x:c>
      <x:c r="K127" s="11" t="n">
        <x:v>433</x:v>
      </x:c>
      <x:c r="L127" s="11" t="n">
        <x:v>8.67</x:v>
      </x:c>
      <x:c r="M127" s="11" t="n">
        <x:v>3603</x:v>
      </x:c>
      <x:c r="N127" s="11" t="n">
        <x:v>3268</x:v>
      </x:c>
      <x:c r="O127" s="11" t="n">
        <x:v>3087</x:v>
      </x:c>
      <x:c r="P127" s="11" t="n">
        <x:v>181</x:v>
      </x:c>
    </x:row>
    <x:row r="128">
      <x:c r="A128" s="11" t="n">
        <x:v>127</x:v>
      </x:c>
      <x:c r="B128" s="11" t="str">
        <x:v>2026-07-17</x:v>
      </x:c>
      <x:c r="C128" s="11" t="str">
        <x:v>L4</x:v>
      </x:c>
      <x:c r="D128" s="11" t="str">
        <x:v>Etiquetado</x:v>
      </x:c>
      <x:c r="E128" s="11" t="str">
        <x:v>Matutino</x:v>
      </x:c>
      <x:c r="F128" s="11" t="str">
        <x:v>P002</x:v>
      </x:c>
      <x:c r="G128" s="11" t="str">
        <x:v>Producto Beta</x:v>
      </x:c>
      <x:c r="H128" s="11" t="n">
        <x:v>480</x:v>
      </x:c>
      <x:c r="I128" s="11" t="n">
        <x:v>19</x:v>
      </x:c>
      <x:c r="J128" s="11" t="n">
        <x:v>0</x:v>
      </x:c>
      <x:c r="K128" s="11" t="n">
        <x:v>461</x:v>
      </x:c>
      <x:c r="L128" s="11" t="n">
        <x:v>10</x:v>
      </x:c>
      <x:c r="M128" s="11" t="n">
        <x:v>4149</x:v>
      </x:c>
      <x:c r="N128" s="11" t="n">
        <x:v>4328</x:v>
      </x:c>
      <x:c r="O128" s="11" t="n">
        <x:v>4108</x:v>
      </x:c>
      <x:c r="P128" s="11" t="n">
        <x:v>220</x:v>
      </x:c>
    </x:row>
    <x:row r="129">
      <x:c r="A129" s="11" t="n">
        <x:v>128</x:v>
      </x:c>
      <x:c r="B129" s="11" t="str">
        <x:v>2026-07-17</x:v>
      </x:c>
      <x:c r="C129" s="11" t="str">
        <x:v>L4</x:v>
      </x:c>
      <x:c r="D129" s="11" t="str">
        <x:v>Etiquetado</x:v>
      </x:c>
      <x:c r="E129" s="11" t="str">
        <x:v>Vespertino</x:v>
      </x:c>
      <x:c r="F129" s="11" t="str">
        <x:v>P003</x:v>
      </x:c>
      <x:c r="G129" s="11" t="str">
        <x:v>Producto Gamma</x:v>
      </x:c>
      <x:c r="H129" s="11" t="n">
        <x:v>480</x:v>
      </x:c>
      <x:c r="I129" s="11" t="n">
        <x:v>30</x:v>
      </x:c>
      <x:c r="J129" s="11" t="n">
        <x:v>24</x:v>
      </x:c>
      <x:c r="K129" s="11" t="n">
        <x:v>426</x:v>
      </x:c>
      <x:c r="L129" s="11" t="n">
        <x:v>10</x:v>
      </x:c>
      <x:c r="M129" s="11" t="n">
        <x:v>4050</x:v>
      </x:c>
      <x:c r="N129" s="11" t="n">
        <x:v>3526</x:v>
      </x:c>
      <x:c r="O129" s="11" t="n">
        <x:v>3367</x:v>
      </x:c>
      <x:c r="P129" s="11" t="n">
        <x:v>159</x:v>
      </x:c>
    </x:row>
    <x:row r="130">
      <x:c r="A130" s="11" t="n">
        <x:v>129</x:v>
      </x:c>
      <x:c r="B130" s="11" t="str">
        <x:v>2026-07-18</x:v>
      </x:c>
      <x:c r="C130" s="11" t="str">
        <x:v>L1</x:v>
      </x:c>
      <x:c r="D130" s="11" t="str">
        <x:v>Envasado A</x:v>
      </x:c>
      <x:c r="E130" s="11" t="str">
        <x:v>Matutino</x:v>
      </x:c>
      <x:c r="F130" s="11" t="str">
        <x:v>P003</x:v>
      </x:c>
      <x:c r="G130" s="11" t="str">
        <x:v>Producto Gamma</x:v>
      </x:c>
      <x:c r="H130" s="11" t="n">
        <x:v>480</x:v>
      </x:c>
      <x:c r="I130" s="11" t="n">
        <x:v>23</x:v>
      </x:c>
      <x:c r="J130" s="11" t="n">
        <x:v>20</x:v>
      </x:c>
      <x:c r="K130" s="11" t="n">
        <x:v>437</x:v>
      </x:c>
      <x:c r="L130" s="11" t="n">
        <x:v>8</x:v>
      </x:c>
      <x:c r="M130" s="11" t="n">
        <x:v>3290</x:v>
      </x:c>
      <x:c r="N130" s="11" t="n">
        <x:v>3287</x:v>
      </x:c>
      <x:c r="O130" s="11" t="n">
        <x:v>3151</x:v>
      </x:c>
      <x:c r="P130" s="11" t="n">
        <x:v>136</x:v>
      </x:c>
    </x:row>
    <x:row r="131">
      <x:c r="A131" s="11" t="n">
        <x:v>130</x:v>
      </x:c>
      <x:c r="B131" s="11" t="str">
        <x:v>2026-07-18</x:v>
      </x:c>
      <x:c r="C131" s="11" t="str">
        <x:v>L1</x:v>
      </x:c>
      <x:c r="D131" s="11" t="str">
        <x:v>Envasado A</x:v>
      </x:c>
      <x:c r="E131" s="11" t="str">
        <x:v>Vespertino</x:v>
      </x:c>
      <x:c r="F131" s="11" t="str">
        <x:v>P002</x:v>
      </x:c>
      <x:c r="G131" s="11" t="str">
        <x:v>Producto Beta</x:v>
      </x:c>
      <x:c r="H131" s="11" t="n">
        <x:v>480</x:v>
      </x:c>
      <x:c r="I131" s="11" t="n">
        <x:v>22</x:v>
      </x:c>
      <x:c r="J131" s="11" t="n">
        <x:v>20</x:v>
      </x:c>
      <x:c r="K131" s="11" t="n">
        <x:v>438</x:v>
      </x:c>
      <x:c r="L131" s="11" t="n">
        <x:v>8</x:v>
      </x:c>
      <x:c r="M131" s="11" t="n">
        <x:v>3297</x:v>
      </x:c>
      <x:c r="N131" s="11" t="n">
        <x:v>3189</x:v>
      </x:c>
      <x:c r="O131" s="11" t="n">
        <x:v>2947</x:v>
      </x:c>
      <x:c r="P131" s="11" t="n">
        <x:v>242</x:v>
      </x:c>
    </x:row>
    <x:row r="132">
      <x:c r="A132" s="11" t="n">
        <x:v>131</x:v>
      </x:c>
      <x:c r="B132" s="11" t="str">
        <x:v>2026-07-18</x:v>
      </x:c>
      <x:c r="C132" s="11" t="str">
        <x:v>L2</x:v>
      </x:c>
      <x:c r="D132" s="11" t="str">
        <x:v>Envasado B</x:v>
      </x:c>
      <x:c r="E132" s="11" t="str">
        <x:v>Matutino</x:v>
      </x:c>
      <x:c r="F132" s="11" t="str">
        <x:v>P003</x:v>
      </x:c>
      <x:c r="G132" s="11" t="str">
        <x:v>Producto Gamma</x:v>
      </x:c>
      <x:c r="H132" s="11" t="n">
        <x:v>480</x:v>
      </x:c>
      <x:c r="I132" s="11" t="n">
        <x:v>27</x:v>
      </x:c>
      <x:c r="J132" s="11" t="n">
        <x:v>14</x:v>
      </x:c>
      <x:c r="K132" s="11" t="n">
        <x:v>439</x:v>
      </x:c>
      <x:c r="L132" s="11" t="n">
        <x:v>7.5</x:v>
      </x:c>
      <x:c r="M132" s="11" t="n">
        <x:v>3057</x:v>
      </x:c>
      <x:c r="N132" s="11" t="n">
        <x:v>3144</x:v>
      </x:c>
      <x:c r="O132" s="11" t="n">
        <x:v>2966</x:v>
      </x:c>
      <x:c r="P132" s="11" t="n">
        <x:v>178</x:v>
      </x:c>
    </x:row>
    <x:row r="133">
      <x:c r="A133" s="11" t="n">
        <x:v>132</x:v>
      </x:c>
      <x:c r="B133" s="11" t="str">
        <x:v>2026-07-18</x:v>
      </x:c>
      <x:c r="C133" s="11" t="str">
        <x:v>L2</x:v>
      </x:c>
      <x:c r="D133" s="11" t="str">
        <x:v>Envasado B</x:v>
      </x:c>
      <x:c r="E133" s="11" t="str">
        <x:v>Vespertino</x:v>
      </x:c>
      <x:c r="F133" s="11" t="str">
        <x:v>P002</x:v>
      </x:c>
      <x:c r="G133" s="11" t="str">
        <x:v>Producto Beta</x:v>
      </x:c>
      <x:c r="H133" s="11" t="n">
        <x:v>480</x:v>
      </x:c>
      <x:c r="I133" s="11" t="n">
        <x:v>23</x:v>
      </x:c>
      <x:c r="J133" s="11" t="n">
        <x:v>50</x:v>
      </x:c>
      <x:c r="K133" s="11" t="n">
        <x:v>407</x:v>
      </x:c>
      <x:c r="L133" s="11" t="n">
        <x:v>7.5</x:v>
      </x:c>
      <x:c r="M133" s="11" t="n">
        <x:v>3084</x:v>
      </x:c>
      <x:c r="N133" s="11" t="n">
        <x:v>2625</x:v>
      </x:c>
      <x:c r="O133" s="11" t="n">
        <x:v>2522</x:v>
      </x:c>
      <x:c r="P133" s="11" t="n">
        <x:v>103</x:v>
      </x:c>
    </x:row>
    <x:row r="134">
      <x:c r="A134" s="11" t="n">
        <x:v>133</x:v>
      </x:c>
      <x:c r="B134" s="11" t="str">
        <x:v>2026-07-18</x:v>
      </x:c>
      <x:c r="C134" s="11" t="str">
        <x:v>L3</x:v>
      </x:c>
      <x:c r="D134" s="11" t="str">
        <x:v>Empaque</x:v>
      </x:c>
      <x:c r="E134" s="11" t="str">
        <x:v>Matutino</x:v>
      </x:c>
      <x:c r="F134" s="11" t="str">
        <x:v>P003</x:v>
      </x:c>
      <x:c r="G134" s="11" t="str">
        <x:v>Producto Gamma</x:v>
      </x:c>
      <x:c r="H134" s="11" t="n">
        <x:v>480</x:v>
      </x:c>
      <x:c r="I134" s="11" t="n">
        <x:v>23</x:v>
      </x:c>
      <x:c r="J134" s="11" t="n">
        <x:v>3</x:v>
      </x:c>
      <x:c r="K134" s="11" t="n">
        <x:v>454</x:v>
      </x:c>
      <x:c r="L134" s="11" t="n">
        <x:v>8.67</x:v>
      </x:c>
      <x:c r="M134" s="11" t="n">
        <x:v>3564</x:v>
      </x:c>
      <x:c r="N134" s="11" t="n">
        <x:v>3507</x:v>
      </x:c>
      <x:c r="O134" s="11" t="n">
        <x:v>3342</x:v>
      </x:c>
      <x:c r="P134" s="11" t="n">
        <x:v>165</x:v>
      </x:c>
    </x:row>
    <x:row r="135">
      <x:c r="A135" s="11" t="n">
        <x:v>134</x:v>
      </x:c>
      <x:c r="B135" s="11" t="str">
        <x:v>2026-07-18</x:v>
      </x:c>
      <x:c r="C135" s="11" t="str">
        <x:v>L3</x:v>
      </x:c>
      <x:c r="D135" s="11" t="str">
        <x:v>Empaque</x:v>
      </x:c>
      <x:c r="E135" s="11" t="str">
        <x:v>Vespertino</x:v>
      </x:c>
      <x:c r="F135" s="11" t="str">
        <x:v>P002</x:v>
      </x:c>
      <x:c r="G135" s="11" t="str">
        <x:v>Producto Beta</x:v>
      </x:c>
      <x:c r="H135" s="11" t="n">
        <x:v>480</x:v>
      </x:c>
      <x:c r="I135" s="11" t="n">
        <x:v>30</x:v>
      </x:c>
      <x:c r="J135" s="11" t="n">
        <x:v>43</x:v>
      </x:c>
      <x:c r="K135" s="11" t="n">
        <x:v>407</x:v>
      </x:c>
      <x:c r="L135" s="11" t="n">
        <x:v>8.67</x:v>
      </x:c>
      <x:c r="M135" s="11" t="n">
        <x:v>3509</x:v>
      </x:c>
      <x:c r="N135" s="11" t="n">
        <x:v>3099</x:v>
      </x:c>
      <x:c r="O135" s="11" t="n">
        <x:v>2903</x:v>
      </x:c>
      <x:c r="P135" s="11" t="n">
        <x:v>196</x:v>
      </x:c>
    </x:row>
    <x:row r="136">
      <x:c r="A136" s="11" t="n">
        <x:v>135</x:v>
      </x:c>
      <x:c r="B136" s="11" t="str">
        <x:v>2026-07-18</x:v>
      </x:c>
      <x:c r="C136" s="11" t="str">
        <x:v>L4</x:v>
      </x:c>
      <x:c r="D136" s="11" t="str">
        <x:v>Etiquetado</x:v>
      </x:c>
      <x:c r="E136" s="11" t="str">
        <x:v>Matutino</x:v>
      </x:c>
      <x:c r="F136" s="11" t="str">
        <x:v>P002</x:v>
      </x:c>
      <x:c r="G136" s="11" t="str">
        <x:v>Producto Beta</x:v>
      </x:c>
      <x:c r="H136" s="11" t="n">
        <x:v>480</x:v>
      </x:c>
      <x:c r="I136" s="11" t="n">
        <x:v>35</x:v>
      </x:c>
      <x:c r="J136" s="11" t="n">
        <x:v>22</x:v>
      </x:c>
      <x:c r="K136" s="11" t="n">
        <x:v>423</x:v>
      </x:c>
      <x:c r="L136" s="11" t="n">
        <x:v>10</x:v>
      </x:c>
      <x:c r="M136" s="11" t="n">
        <x:v>4005</x:v>
      </x:c>
      <x:c r="N136" s="11" t="n">
        <x:v>3647</x:v>
      </x:c>
      <x:c r="O136" s="11" t="n">
        <x:v>3464</x:v>
      </x:c>
      <x:c r="P136" s="11" t="n">
        <x:v>183</x:v>
      </x:c>
    </x:row>
    <x:row r="137">
      <x:c r="A137" s="11" t="n">
        <x:v>136</x:v>
      </x:c>
      <x:c r="B137" s="11" t="str">
        <x:v>2026-07-18</x:v>
      </x:c>
      <x:c r="C137" s="11" t="str">
        <x:v>L4</x:v>
      </x:c>
      <x:c r="D137" s="11" t="str">
        <x:v>Etiquetado</x:v>
      </x:c>
      <x:c r="E137" s="11" t="str">
        <x:v>Vespertino</x:v>
      </x:c>
      <x:c r="F137" s="11" t="str">
        <x:v>P002</x:v>
      </x:c>
      <x:c r="G137" s="11" t="str">
        <x:v>Producto Beta</x:v>
      </x:c>
      <x:c r="H137" s="11" t="n">
        <x:v>480</x:v>
      </x:c>
      <x:c r="I137" s="11" t="n">
        <x:v>22</x:v>
      </x:c>
      <x:c r="J137" s="11" t="n">
        <x:v>29</x:v>
      </x:c>
      <x:c r="K137" s="11" t="n">
        <x:v>429</x:v>
      </x:c>
      <x:c r="L137" s="11" t="n">
        <x:v>10</x:v>
      </x:c>
      <x:c r="M137" s="11" t="n">
        <x:v>4122</x:v>
      </x:c>
      <x:c r="N137" s="11" t="n">
        <x:v>3815</x:v>
      </x:c>
      <x:c r="O137" s="11" t="n">
        <x:v>3642</x:v>
      </x:c>
      <x:c r="P137" s="11" t="n">
        <x:v>173</x:v>
      </x:c>
    </x:row>
    <x:row r="138">
      <x:c r="A138" s="11" t="n">
        <x:v>137</x:v>
      </x:c>
      <x:c r="B138" s="11" t="str">
        <x:v>2026-07-19</x:v>
      </x:c>
      <x:c r="C138" s="11" t="str">
        <x:v>L1</x:v>
      </x:c>
      <x:c r="D138" s="11" t="str">
        <x:v>Envasado A</x:v>
      </x:c>
      <x:c r="E138" s="11" t="str">
        <x:v>Matutino</x:v>
      </x:c>
      <x:c r="F138" s="11" t="str">
        <x:v>P002</x:v>
      </x:c>
      <x:c r="G138" s="11" t="str">
        <x:v>Producto Beta</x:v>
      </x:c>
      <x:c r="H138" s="11" t="n">
        <x:v>480</x:v>
      </x:c>
      <x:c r="I138" s="11" t="n">
        <x:v>32</x:v>
      </x:c>
      <x:c r="J138" s="11" t="n">
        <x:v>5</x:v>
      </x:c>
      <x:c r="K138" s="11" t="n">
        <x:v>443</x:v>
      </x:c>
      <x:c r="L138" s="11" t="n">
        <x:v>8</x:v>
      </x:c>
      <x:c r="M138" s="11" t="n">
        <x:v>3225</x:v>
      </x:c>
      <x:c r="N138" s="11" t="n">
        <x:v>3192</x:v>
      </x:c>
      <x:c r="O138" s="11" t="n">
        <x:v>2999</x:v>
      </x:c>
      <x:c r="P138" s="11" t="n">
        <x:v>193</x:v>
      </x:c>
    </x:row>
    <x:row r="139">
      <x:c r="A139" s="11" t="n">
        <x:v>138</x:v>
      </x:c>
      <x:c r="B139" s="11" t="str">
        <x:v>2026-07-19</x:v>
      </x:c>
      <x:c r="C139" s="11" t="str">
        <x:v>L1</x:v>
      </x:c>
      <x:c r="D139" s="11" t="str">
        <x:v>Envasado A</x:v>
      </x:c>
      <x:c r="E139" s="11" t="str">
        <x:v>Vespertino</x:v>
      </x:c>
      <x:c r="F139" s="11" t="str">
        <x:v>P003</x:v>
      </x:c>
      <x:c r="G139" s="11" t="str">
        <x:v>Producto Gamma</x:v>
      </x:c>
      <x:c r="H139" s="11" t="n">
        <x:v>480</x:v>
      </x:c>
      <x:c r="I139" s="11" t="n">
        <x:v>29</x:v>
      </x:c>
      <x:c r="J139" s="11" t="n">
        <x:v>8</x:v>
      </x:c>
      <x:c r="K139" s="11" t="n">
        <x:v>443</x:v>
      </x:c>
      <x:c r="L139" s="11" t="n">
        <x:v>8</x:v>
      </x:c>
      <x:c r="M139" s="11" t="n">
        <x:v>3247</x:v>
      </x:c>
      <x:c r="N139" s="11" t="n">
        <x:v>3209</x:v>
      </x:c>
      <x:c r="O139" s="11" t="n">
        <x:v>3077</x:v>
      </x:c>
      <x:c r="P139" s="11" t="n">
        <x:v>132</x:v>
      </x:c>
    </x:row>
    <x:row r="140">
      <x:c r="A140" s="11" t="n">
        <x:v>139</x:v>
      </x:c>
      <x:c r="B140" s="11" t="str">
        <x:v>2026-07-19</x:v>
      </x:c>
      <x:c r="C140" s="11" t="str">
        <x:v>L2</x:v>
      </x:c>
      <x:c r="D140" s="11" t="str">
        <x:v>Envasado B</x:v>
      </x:c>
      <x:c r="E140" s="11" t="str">
        <x:v>Matutino</x:v>
      </x:c>
      <x:c r="F140" s="11" t="str">
        <x:v>P001</x:v>
      </x:c>
      <x:c r="G140" s="11" t="str">
        <x:v>Producto Alfa</x:v>
      </x:c>
      <x:c r="H140" s="11" t="n">
        <x:v>480</x:v>
      </x:c>
      <x:c r="I140" s="11" t="n">
        <x:v>21</x:v>
      </x:c>
      <x:c r="J140" s="11" t="n">
        <x:v>13</x:v>
      </x:c>
      <x:c r="K140" s="11" t="n">
        <x:v>446</x:v>
      </x:c>
      <x:c r="L140" s="11" t="n">
        <x:v>7.5</x:v>
      </x:c>
      <x:c r="M140" s="11" t="n">
        <x:v>3098</x:v>
      </x:c>
      <x:c r="N140" s="11" t="n">
        <x:v>3271</x:v>
      </x:c>
      <x:c r="O140" s="11" t="n">
        <x:v>3197</x:v>
      </x:c>
      <x:c r="P140" s="11" t="n">
        <x:v>74</x:v>
      </x:c>
    </x:row>
    <x:row r="141">
      <x:c r="A141" s="11" t="n">
        <x:v>140</x:v>
      </x:c>
      <x:c r="B141" s="11" t="str">
        <x:v>2026-07-19</x:v>
      </x:c>
      <x:c r="C141" s="11" t="str">
        <x:v>L2</x:v>
      </x:c>
      <x:c r="D141" s="11" t="str">
        <x:v>Envasado B</x:v>
      </x:c>
      <x:c r="E141" s="11" t="str">
        <x:v>Vespertino</x:v>
      </x:c>
      <x:c r="F141" s="11" t="str">
        <x:v>P001</x:v>
      </x:c>
      <x:c r="G141" s="11" t="str">
        <x:v>Producto Alfa</x:v>
      </x:c>
      <x:c r="H141" s="11" t="n">
        <x:v>480</x:v>
      </x:c>
      <x:c r="I141" s="11" t="n">
        <x:v>21</x:v>
      </x:c>
      <x:c r="J141" s="11" t="n">
        <x:v>17</x:v>
      </x:c>
      <x:c r="K141" s="11" t="n">
        <x:v>442</x:v>
      </x:c>
      <x:c r="L141" s="11" t="n">
        <x:v>7.5</x:v>
      </x:c>
      <x:c r="M141" s="11" t="n">
        <x:v>3098</x:v>
      </x:c>
      <x:c r="N141" s="11" t="n">
        <x:v>3008</x:v>
      </x:c>
      <x:c r="O141" s="11" t="n">
        <x:v>2858</x:v>
      </x:c>
      <x:c r="P141" s="11" t="n">
        <x:v>150</x:v>
      </x:c>
    </x:row>
    <x:row r="142">
      <x:c r="A142" s="11" t="n">
        <x:v>141</x:v>
      </x:c>
      <x:c r="B142" s="11" t="str">
        <x:v>2026-07-20</x:v>
      </x:c>
      <x:c r="C142" s="11" t="str">
        <x:v>L1</x:v>
      </x:c>
      <x:c r="D142" s="11" t="str">
        <x:v>Envasado A</x:v>
      </x:c>
      <x:c r="E142" s="11" t="str">
        <x:v>Matutino</x:v>
      </x:c>
      <x:c r="F142" s="11" t="str">
        <x:v>P003</x:v>
      </x:c>
      <x:c r="G142" s="11" t="str">
        <x:v>Producto Gamma</x:v>
      </x:c>
      <x:c r="H142" s="11" t="n">
        <x:v>480</x:v>
      </x:c>
      <x:c r="I142" s="11" t="n">
        <x:v>31</x:v>
      </x:c>
      <x:c r="J142" s="11" t="n">
        <x:v>0</x:v>
      </x:c>
      <x:c r="K142" s="11" t="n">
        <x:v>449</x:v>
      </x:c>
      <x:c r="L142" s="11" t="n">
        <x:v>8</x:v>
      </x:c>
      <x:c r="M142" s="11" t="n">
        <x:v>3232</x:v>
      </x:c>
      <x:c r="N142" s="11" t="n">
        <x:v>3009</x:v>
      </x:c>
      <x:c r="O142" s="11" t="n">
        <x:v>2873</x:v>
      </x:c>
      <x:c r="P142" s="11" t="n">
        <x:v>136</x:v>
      </x:c>
    </x:row>
    <x:row r="143">
      <x:c r="A143" s="11" t="n">
        <x:v>142</x:v>
      </x:c>
      <x:c r="B143" s="11" t="str">
        <x:v>2026-07-20</x:v>
      </x:c>
      <x:c r="C143" s="11" t="str">
        <x:v>L1</x:v>
      </x:c>
      <x:c r="D143" s="11" t="str">
        <x:v>Envasado A</x:v>
      </x:c>
      <x:c r="E143" s="11" t="str">
        <x:v>Vespertino</x:v>
      </x:c>
      <x:c r="F143" s="11" t="str">
        <x:v>P002</x:v>
      </x:c>
      <x:c r="G143" s="11" t="str">
        <x:v>Producto Beta</x:v>
      </x:c>
      <x:c r="H143" s="11" t="n">
        <x:v>480</x:v>
      </x:c>
      <x:c r="I143" s="11" t="n">
        <x:v>20</x:v>
      </x:c>
      <x:c r="J143" s="11" t="n">
        <x:v>11</x:v>
      </x:c>
      <x:c r="K143" s="11" t="n">
        <x:v>449</x:v>
      </x:c>
      <x:c r="L143" s="11" t="n">
        <x:v>8</x:v>
      </x:c>
      <x:c r="M143" s="11" t="n">
        <x:v>3312</x:v>
      </x:c>
      <x:c r="N143" s="11" t="n">
        <x:v>3186</x:v>
      </x:c>
      <x:c r="O143" s="11" t="n">
        <x:v>3051</x:v>
      </x:c>
      <x:c r="P143" s="11" t="n">
        <x:v>135</x:v>
      </x:c>
    </x:row>
    <x:row r="144">
      <x:c r="A144" s="11" t="n">
        <x:v>143</x:v>
      </x:c>
      <x:c r="B144" s="11" t="str">
        <x:v>2026-07-20</x:v>
      </x:c>
      <x:c r="C144" s="11" t="str">
        <x:v>L2</x:v>
      </x:c>
      <x:c r="D144" s="11" t="str">
        <x:v>Envasado B</x:v>
      </x:c>
      <x:c r="E144" s="11" t="str">
        <x:v>Matutino</x:v>
      </x:c>
      <x:c r="F144" s="11" t="str">
        <x:v>P001</x:v>
      </x:c>
      <x:c r="G144" s="11" t="str">
        <x:v>Producto Alfa</x:v>
      </x:c>
      <x:c r="H144" s="11" t="n">
        <x:v>480</x:v>
      </x:c>
      <x:c r="I144" s="11" t="n">
        <x:v>23</x:v>
      </x:c>
      <x:c r="J144" s="11" t="n">
        <x:v>35</x:v>
      </x:c>
      <x:c r="K144" s="11" t="n">
        <x:v>422</x:v>
      </x:c>
      <x:c r="L144" s="11" t="n">
        <x:v>7.5</x:v>
      </x:c>
      <x:c r="M144" s="11" t="n">
        <x:v>3084</x:v>
      </x:c>
      <x:c r="N144" s="11" t="n">
        <x:v>2893</x:v>
      </x:c>
      <x:c r="O144" s="11" t="n">
        <x:v>2755</x:v>
      </x:c>
      <x:c r="P144" s="11" t="n">
        <x:v>138</x:v>
      </x:c>
    </x:row>
    <x:row r="145">
      <x:c r="A145" s="11" t="n">
        <x:v>144</x:v>
      </x:c>
      <x:c r="B145" s="11" t="str">
        <x:v>2026-07-20</x:v>
      </x:c>
      <x:c r="C145" s="11" t="str">
        <x:v>L2</x:v>
      </x:c>
      <x:c r="D145" s="11" t="str">
        <x:v>Envasado B</x:v>
      </x:c>
      <x:c r="E145" s="11" t="str">
        <x:v>Vespertino</x:v>
      </x:c>
      <x:c r="F145" s="11" t="str">
        <x:v>P003</x:v>
      </x:c>
      <x:c r="G145" s="11" t="str">
        <x:v>Producto Gamma</x:v>
      </x:c>
      <x:c r="H145" s="11" t="n">
        <x:v>480</x:v>
      </x:c>
      <x:c r="I145" s="11" t="n">
        <x:v>30</x:v>
      </x:c>
      <x:c r="J145" s="11" t="n">
        <x:v>78</x:v>
      </x:c>
      <x:c r="K145" s="11" t="n">
        <x:v>372</x:v>
      </x:c>
      <x:c r="L145" s="11" t="n">
        <x:v>7.5</x:v>
      </x:c>
      <x:c r="M145" s="11" t="n">
        <x:v>3037</x:v>
      </x:c>
      <x:c r="N145" s="11" t="n">
        <x:v>2554</x:v>
      </x:c>
      <x:c r="O145" s="11" t="n">
        <x:v>2429</x:v>
      </x:c>
      <x:c r="P145" s="11" t="n">
        <x:v>125</x:v>
      </x:c>
    </x:row>
    <x:row r="146">
      <x:c r="A146" s="11" t="n">
        <x:v>145</x:v>
      </x:c>
      <x:c r="B146" s="11" t="str">
        <x:v>2026-07-20</x:v>
      </x:c>
      <x:c r="C146" s="11" t="str">
        <x:v>L3</x:v>
      </x:c>
      <x:c r="D146" s="11" t="str">
        <x:v>Empaque</x:v>
      </x:c>
      <x:c r="E146" s="11" t="str">
        <x:v>Matutino</x:v>
      </x:c>
      <x:c r="F146" s="11" t="str">
        <x:v>P002</x:v>
      </x:c>
      <x:c r="G146" s="11" t="str">
        <x:v>Producto Beta</x:v>
      </x:c>
      <x:c r="H146" s="11" t="n">
        <x:v>480</x:v>
      </x:c>
      <x:c r="I146" s="11" t="n">
        <x:v>30</x:v>
      </x:c>
      <x:c r="J146" s="11" t="n">
        <x:v>8</x:v>
      </x:c>
      <x:c r="K146" s="11" t="n">
        <x:v>442</x:v>
      </x:c>
      <x:c r="L146" s="11" t="n">
        <x:v>8.67</x:v>
      </x:c>
      <x:c r="M146" s="11" t="n">
        <x:v>3509</x:v>
      </x:c>
      <x:c r="N146" s="11" t="n">
        <x:v>3506</x:v>
      </x:c>
      <x:c r="O146" s="11" t="n">
        <x:v>3326</x:v>
      </x:c>
      <x:c r="P146" s="11" t="n">
        <x:v>180</x:v>
      </x:c>
    </x:row>
    <x:row r="147">
      <x:c r="A147" s="11" t="n">
        <x:v>146</x:v>
      </x:c>
      <x:c r="B147" s="11" t="str">
        <x:v>2026-07-20</x:v>
      </x:c>
      <x:c r="C147" s="11" t="str">
        <x:v>L3</x:v>
      </x:c>
      <x:c r="D147" s="11" t="str">
        <x:v>Empaque</x:v>
      </x:c>
      <x:c r="E147" s="11" t="str">
        <x:v>Vespertino</x:v>
      </x:c>
      <x:c r="F147" s="11" t="str">
        <x:v>P002</x:v>
      </x:c>
      <x:c r="G147" s="11" t="str">
        <x:v>Producto Beta</x:v>
      </x:c>
      <x:c r="H147" s="11" t="n">
        <x:v>480</x:v>
      </x:c>
      <x:c r="I147" s="11" t="n">
        <x:v>18</x:v>
      </x:c>
      <x:c r="J147" s="11" t="n">
        <x:v>24</x:v>
      </x:c>
      <x:c r="K147" s="11" t="n">
        <x:v>438</x:v>
      </x:c>
      <x:c r="L147" s="11" t="n">
        <x:v>8.67</x:v>
      </x:c>
      <x:c r="M147" s="11" t="n">
        <x:v>3603</x:v>
      </x:c>
      <x:c r="N147" s="11" t="n">
        <x:v>3530</x:v>
      </x:c>
      <x:c r="O147" s="11" t="n">
        <x:v>3279</x:v>
      </x:c>
      <x:c r="P147" s="11" t="n">
        <x:v>251</x:v>
      </x:c>
    </x:row>
    <x:row r="148">
      <x:c r="A148" s="11" t="n">
        <x:v>147</x:v>
      </x:c>
      <x:c r="B148" s="11" t="str">
        <x:v>2026-07-20</x:v>
      </x:c>
      <x:c r="C148" s="11" t="str">
        <x:v>L4</x:v>
      </x:c>
      <x:c r="D148" s="11" t="str">
        <x:v>Etiquetado</x:v>
      </x:c>
      <x:c r="E148" s="11" t="str">
        <x:v>Matutino</x:v>
      </x:c>
      <x:c r="F148" s="11" t="str">
        <x:v>P001</x:v>
      </x:c>
      <x:c r="G148" s="11" t="str">
        <x:v>Producto Alfa</x:v>
      </x:c>
      <x:c r="H148" s="11" t="n">
        <x:v>480</x:v>
      </x:c>
      <x:c r="I148" s="11" t="n">
        <x:v>33</x:v>
      </x:c>
      <x:c r="J148" s="11" t="n">
        <x:v>22</x:v>
      </x:c>
      <x:c r="K148" s="11" t="n">
        <x:v>425</x:v>
      </x:c>
      <x:c r="L148" s="11" t="n">
        <x:v>10</x:v>
      </x:c>
      <x:c r="M148" s="11" t="n">
        <x:v>4023</x:v>
      </x:c>
      <x:c r="N148" s="11" t="n">
        <x:v>3821</x:v>
      </x:c>
      <x:c r="O148" s="11" t="n">
        <x:v>3703</x:v>
      </x:c>
      <x:c r="P148" s="11" t="n">
        <x:v>118</x:v>
      </x:c>
    </x:row>
    <x:row r="149">
      <x:c r="A149" s="11" t="n">
        <x:v>148</x:v>
      </x:c>
      <x:c r="B149" s="11" t="str">
        <x:v>2026-07-20</x:v>
      </x:c>
      <x:c r="C149" s="11" t="str">
        <x:v>L4</x:v>
      </x:c>
      <x:c r="D149" s="11" t="str">
        <x:v>Etiquetado</x:v>
      </x:c>
      <x:c r="E149" s="11" t="str">
        <x:v>Vespertino</x:v>
      </x:c>
      <x:c r="F149" s="11" t="str">
        <x:v>P002</x:v>
      </x:c>
      <x:c r="G149" s="11" t="str">
        <x:v>Producto Beta</x:v>
      </x:c>
      <x:c r="H149" s="11" t="n">
        <x:v>480</x:v>
      </x:c>
      <x:c r="I149" s="11" t="n">
        <x:v>17</x:v>
      </x:c>
      <x:c r="J149" s="11" t="n">
        <x:v>50</x:v>
      </x:c>
      <x:c r="K149" s="11" t="n">
        <x:v>413</x:v>
      </x:c>
      <x:c r="L149" s="11" t="n">
        <x:v>10</x:v>
      </x:c>
      <x:c r="M149" s="11" t="n">
        <x:v>4167</x:v>
      </x:c>
      <x:c r="N149" s="11" t="n">
        <x:v>3851</x:v>
      </x:c>
      <x:c r="O149" s="11" t="n">
        <x:v>3619</x:v>
      </x:c>
      <x:c r="P149" s="11" t="n">
        <x:v>232</x:v>
      </x:c>
    </x:row>
    <x:row r="150">
      <x:c r="A150" s="11" t="n">
        <x:v>149</x:v>
      </x:c>
      <x:c r="B150" s="11" t="str">
        <x:v>2026-07-21</x:v>
      </x:c>
      <x:c r="C150" s="11" t="str">
        <x:v>L1</x:v>
      </x:c>
      <x:c r="D150" s="11" t="str">
        <x:v>Envasado A</x:v>
      </x:c>
      <x:c r="E150" s="11" t="str">
        <x:v>Matutino</x:v>
      </x:c>
      <x:c r="F150" s="11" t="str">
        <x:v>P002</x:v>
      </x:c>
      <x:c r="G150" s="11" t="str">
        <x:v>Producto Beta</x:v>
      </x:c>
      <x:c r="H150" s="11" t="n">
        <x:v>480</x:v>
      </x:c>
      <x:c r="I150" s="11" t="n">
        <x:v>34</x:v>
      </x:c>
      <x:c r="J150" s="11" t="n">
        <x:v>2</x:v>
      </x:c>
      <x:c r="K150" s="11" t="n">
        <x:v>444</x:v>
      </x:c>
      <x:c r="L150" s="11" t="n">
        <x:v>8</x:v>
      </x:c>
      <x:c r="M150" s="11" t="n">
        <x:v>3211</x:v>
      </x:c>
      <x:c r="N150" s="11" t="n">
        <x:v>3106</x:v>
      </x:c>
      <x:c r="O150" s="11" t="n">
        <x:v>2925</x:v>
      </x:c>
      <x:c r="P150" s="11" t="n">
        <x:v>181</x:v>
      </x:c>
    </x:row>
    <x:row r="151">
      <x:c r="A151" s="11" t="n">
        <x:v>150</x:v>
      </x:c>
      <x:c r="B151" s="11" t="str">
        <x:v>2026-07-21</x:v>
      </x:c>
      <x:c r="C151" s="11" t="str">
        <x:v>L1</x:v>
      </x:c>
      <x:c r="D151" s="11" t="str">
        <x:v>Envasado A</x:v>
      </x:c>
      <x:c r="E151" s="11" t="str">
        <x:v>Vespertino</x:v>
      </x:c>
      <x:c r="F151" s="11" t="str">
        <x:v>P002</x:v>
      </x:c>
      <x:c r="G151" s="11" t="str">
        <x:v>Producto Beta</x:v>
      </x:c>
      <x:c r="H151" s="11" t="n">
        <x:v>480</x:v>
      </x:c>
      <x:c r="I151" s="11" t="n">
        <x:v>24</x:v>
      </x:c>
      <x:c r="J151" s="11" t="n">
        <x:v>6</x:v>
      </x:c>
      <x:c r="K151" s="11" t="n">
        <x:v>450</x:v>
      </x:c>
      <x:c r="L151" s="11" t="n">
        <x:v>8</x:v>
      </x:c>
      <x:c r="M151" s="11" t="n">
        <x:v>3283</x:v>
      </x:c>
      <x:c r="N151" s="11" t="n">
        <x:v>3589</x:v>
      </x:c>
      <x:c r="O151" s="11" t="n">
        <x:v>3273</x:v>
      </x:c>
      <x:c r="P151" s="11" t="n">
        <x:v>316</x:v>
      </x:c>
    </x:row>
    <x:row r="152">
      <x:c r="A152" s="11" t="n">
        <x:v>151</x:v>
      </x:c>
      <x:c r="B152" s="11" t="str">
        <x:v>2026-07-21</x:v>
      </x:c>
      <x:c r="C152" s="11" t="str">
        <x:v>L2</x:v>
      </x:c>
      <x:c r="D152" s="11" t="str">
        <x:v>Envasado B</x:v>
      </x:c>
      <x:c r="E152" s="11" t="str">
        <x:v>Matutino</x:v>
      </x:c>
      <x:c r="F152" s="11" t="str">
        <x:v>P002</x:v>
      </x:c>
      <x:c r="G152" s="11" t="str">
        <x:v>Producto Beta</x:v>
      </x:c>
      <x:c r="H152" s="11" t="n">
        <x:v>480</x:v>
      </x:c>
      <x:c r="I152" s="11" t="n">
        <x:v>33</x:v>
      </x:c>
      <x:c r="J152" s="11" t="n">
        <x:v>6</x:v>
      </x:c>
      <x:c r="K152" s="11" t="n">
        <x:v>441</x:v>
      </x:c>
      <x:c r="L152" s="11" t="n">
        <x:v>7.5</x:v>
      </x:c>
      <x:c r="M152" s="11" t="n">
        <x:v>3017</x:v>
      </x:c>
      <x:c r="N152" s="11" t="n">
        <x:v>2869</x:v>
      </x:c>
      <x:c r="O152" s="11" t="n">
        <x:v>2691</x:v>
      </x:c>
      <x:c r="P152" s="11" t="n">
        <x:v>178</x:v>
      </x:c>
    </x:row>
    <x:row r="153">
      <x:c r="A153" s="11" t="n">
        <x:v>152</x:v>
      </x:c>
      <x:c r="B153" s="11" t="str">
        <x:v>2026-07-21</x:v>
      </x:c>
      <x:c r="C153" s="11" t="str">
        <x:v>L2</x:v>
      </x:c>
      <x:c r="D153" s="11" t="str">
        <x:v>Envasado B</x:v>
      </x:c>
      <x:c r="E153" s="11" t="str">
        <x:v>Vespertino</x:v>
      </x:c>
      <x:c r="F153" s="11" t="str">
        <x:v>P001</x:v>
      </x:c>
      <x:c r="G153" s="11" t="str">
        <x:v>Producto Alfa</x:v>
      </x:c>
      <x:c r="H153" s="11" t="n">
        <x:v>480</x:v>
      </x:c>
      <x:c r="I153" s="11" t="n">
        <x:v>35</x:v>
      </x:c>
      <x:c r="J153" s="11" t="n">
        <x:v>0</x:v>
      </x:c>
      <x:c r="K153" s="11" t="n">
        <x:v>445</x:v>
      </x:c>
      <x:c r="L153" s="11" t="n">
        <x:v>7.5</x:v>
      </x:c>
      <x:c r="M153" s="11" t="n">
        <x:v>3003</x:v>
      </x:c>
      <x:c r="N153" s="11" t="n">
        <x:v>3090</x:v>
      </x:c>
      <x:c r="O153" s="11" t="n">
        <x:v>3019</x:v>
      </x:c>
      <x:c r="P153" s="11" t="n">
        <x:v>71</x:v>
      </x:c>
    </x:row>
    <x:row r="154">
      <x:c r="A154" s="11" t="n">
        <x:v>153</x:v>
      </x:c>
      <x:c r="B154" s="11" t="str">
        <x:v>2026-07-21</x:v>
      </x:c>
      <x:c r="C154" s="11" t="str">
        <x:v>L3</x:v>
      </x:c>
      <x:c r="D154" s="11" t="str">
        <x:v>Empaque</x:v>
      </x:c>
      <x:c r="E154" s="11" t="str">
        <x:v>Matutino</x:v>
      </x:c>
      <x:c r="F154" s="11" t="str">
        <x:v>P001</x:v>
      </x:c>
      <x:c r="G154" s="11" t="str">
        <x:v>Producto Alfa</x:v>
      </x:c>
      <x:c r="H154" s="11" t="n">
        <x:v>480</x:v>
      </x:c>
      <x:c r="I154" s="11" t="n">
        <x:v>22</x:v>
      </x:c>
      <x:c r="J154" s="11" t="n">
        <x:v>32</x:v>
      </x:c>
      <x:c r="K154" s="11" t="n">
        <x:v>426</x:v>
      </x:c>
      <x:c r="L154" s="11" t="n">
        <x:v>8.67</x:v>
      </x:c>
      <x:c r="M154" s="11" t="n">
        <x:v>3572</x:v>
      </x:c>
      <x:c r="N154" s="11" t="n">
        <x:v>3417</x:v>
      </x:c>
      <x:c r="O154" s="11" t="n">
        <x:v>3325</x:v>
      </x:c>
      <x:c r="P154" s="11" t="n">
        <x:v>92</x:v>
      </x:c>
    </x:row>
    <x:row r="155">
      <x:c r="A155" s="11" t="n">
        <x:v>154</x:v>
      </x:c>
      <x:c r="B155" s="11" t="str">
        <x:v>2026-07-21</x:v>
      </x:c>
      <x:c r="C155" s="11" t="str">
        <x:v>L3</x:v>
      </x:c>
      <x:c r="D155" s="11" t="str">
        <x:v>Empaque</x:v>
      </x:c>
      <x:c r="E155" s="11" t="str">
        <x:v>Vespertino</x:v>
      </x:c>
      <x:c r="F155" s="11" t="str">
        <x:v>P003</x:v>
      </x:c>
      <x:c r="G155" s="11" t="str">
        <x:v>Producto Gamma</x:v>
      </x:c>
      <x:c r="H155" s="11" t="n">
        <x:v>480</x:v>
      </x:c>
      <x:c r="I155" s="11" t="n">
        <x:v>30</x:v>
      </x:c>
      <x:c r="J155" s="11" t="n">
        <x:v>28</x:v>
      </x:c>
      <x:c r="K155" s="11" t="n">
        <x:v>422</x:v>
      </x:c>
      <x:c r="L155" s="11" t="n">
        <x:v>8.67</x:v>
      </x:c>
      <x:c r="M155" s="11" t="n">
        <x:v>3509</x:v>
      </x:c>
      <x:c r="N155" s="11" t="n">
        <x:v>3297</x:v>
      </x:c>
      <x:c r="O155" s="11" t="n">
        <x:v>3159</x:v>
      </x:c>
      <x:c r="P155" s="11" t="n">
        <x:v>138</x:v>
      </x:c>
    </x:row>
    <x:row r="156">
      <x:c r="A156" s="11" t="n">
        <x:v>155</x:v>
      </x:c>
      <x:c r="B156" s="11" t="str">
        <x:v>2026-07-21</x:v>
      </x:c>
      <x:c r="C156" s="11" t="str">
        <x:v>L4</x:v>
      </x:c>
      <x:c r="D156" s="11" t="str">
        <x:v>Etiquetado</x:v>
      </x:c>
      <x:c r="E156" s="11" t="str">
        <x:v>Matutino</x:v>
      </x:c>
      <x:c r="F156" s="11" t="str">
        <x:v>P003</x:v>
      </x:c>
      <x:c r="G156" s="11" t="str">
        <x:v>Producto Gamma</x:v>
      </x:c>
      <x:c r="H156" s="11" t="n">
        <x:v>480</x:v>
      </x:c>
      <x:c r="I156" s="11" t="n">
        <x:v>24</x:v>
      </x:c>
      <x:c r="J156" s="11" t="n">
        <x:v>20</x:v>
      </x:c>
      <x:c r="K156" s="11" t="n">
        <x:v>436</x:v>
      </x:c>
      <x:c r="L156" s="11" t="n">
        <x:v>10</x:v>
      </x:c>
      <x:c r="M156" s="11" t="n">
        <x:v>4104</x:v>
      </x:c>
      <x:c r="N156" s="11" t="n">
        <x:v>3761</x:v>
      </x:c>
      <x:c r="O156" s="11" t="n">
        <x:v>3533</x:v>
      </x:c>
      <x:c r="P156" s="11" t="n">
        <x:v>228</x:v>
      </x:c>
    </x:row>
    <x:row r="157">
      <x:c r="A157" s="11" t="n">
        <x:v>156</x:v>
      </x:c>
      <x:c r="B157" s="11" t="str">
        <x:v>2026-07-21</x:v>
      </x:c>
      <x:c r="C157" s="11" t="str">
        <x:v>L4</x:v>
      </x:c>
      <x:c r="D157" s="11" t="str">
        <x:v>Etiquetado</x:v>
      </x:c>
      <x:c r="E157" s="11" t="str">
        <x:v>Vespertino</x:v>
      </x:c>
      <x:c r="F157" s="11" t="str">
        <x:v>P003</x:v>
      </x:c>
      <x:c r="G157" s="11" t="str">
        <x:v>Producto Gamma</x:v>
      </x:c>
      <x:c r="H157" s="11" t="n">
        <x:v>480</x:v>
      </x:c>
      <x:c r="I157" s="11" t="n">
        <x:v>33</x:v>
      </x:c>
      <x:c r="J157" s="11" t="n">
        <x:v>0</x:v>
      </x:c>
      <x:c r="K157" s="11" t="n">
        <x:v>447</x:v>
      </x:c>
      <x:c r="L157" s="11" t="n">
        <x:v>10</x:v>
      </x:c>
      <x:c r="M157" s="11" t="n">
        <x:v>4023</x:v>
      </x:c>
      <x:c r="N157" s="11" t="n">
        <x:v>3819</x:v>
      </x:c>
      <x:c r="O157" s="11" t="n">
        <x:v>3537</x:v>
      </x:c>
      <x:c r="P157" s="11" t="n">
        <x:v>282</x:v>
      </x:c>
    </x:row>
    <x:row r="158">
      <x:c r="A158" s="11" t="n">
        <x:v>157</x:v>
      </x:c>
      <x:c r="B158" s="11" t="str">
        <x:v>2026-07-22</x:v>
      </x:c>
      <x:c r="C158" s="11" t="str">
        <x:v>L1</x:v>
      </x:c>
      <x:c r="D158" s="11" t="str">
        <x:v>Envasado A</x:v>
      </x:c>
      <x:c r="E158" s="11" t="str">
        <x:v>Matutino</x:v>
      </x:c>
      <x:c r="F158" s="11" t="str">
        <x:v>P002</x:v>
      </x:c>
      <x:c r="G158" s="11" t="str">
        <x:v>Producto Beta</x:v>
      </x:c>
      <x:c r="H158" s="11" t="n">
        <x:v>480</x:v>
      </x:c>
      <x:c r="I158" s="11" t="n">
        <x:v>18</x:v>
      </x:c>
      <x:c r="J158" s="11" t="n">
        <x:v>0</x:v>
      </x:c>
      <x:c r="K158" s="11" t="n">
        <x:v>462</x:v>
      </x:c>
      <x:c r="L158" s="11" t="n">
        <x:v>8</x:v>
      </x:c>
      <x:c r="M158" s="11" t="n">
        <x:v>3326</x:v>
      </x:c>
      <x:c r="N158" s="11" t="n">
        <x:v>3296</x:v>
      </x:c>
      <x:c r="O158" s="11" t="n">
        <x:v>3160</x:v>
      </x:c>
      <x:c r="P158" s="11" t="n">
        <x:v>136</x:v>
      </x:c>
    </x:row>
    <x:row r="159">
      <x:c r="A159" s="11" t="n">
        <x:v>158</x:v>
      </x:c>
      <x:c r="B159" s="11" t="str">
        <x:v>2026-07-22</x:v>
      </x:c>
      <x:c r="C159" s="11" t="str">
        <x:v>L1</x:v>
      </x:c>
      <x:c r="D159" s="11" t="str">
        <x:v>Envasado A</x:v>
      </x:c>
      <x:c r="E159" s="11" t="str">
        <x:v>Vespertino</x:v>
      </x:c>
      <x:c r="F159" s="11" t="str">
        <x:v>P001</x:v>
      </x:c>
      <x:c r="G159" s="11" t="str">
        <x:v>Producto Alfa</x:v>
      </x:c>
      <x:c r="H159" s="11" t="n">
        <x:v>480</x:v>
      </x:c>
      <x:c r="I159" s="11" t="n">
        <x:v>16</x:v>
      </x:c>
      <x:c r="J159" s="11" t="n">
        <x:v>5</x:v>
      </x:c>
      <x:c r="K159" s="11" t="n">
        <x:v>459</x:v>
      </x:c>
      <x:c r="L159" s="11" t="n">
        <x:v>8</x:v>
      </x:c>
      <x:c r="M159" s="11" t="n">
        <x:v>3340</x:v>
      </x:c>
      <x:c r="N159" s="11" t="n">
        <x:v>3412</x:v>
      </x:c>
      <x:c r="O159" s="11" t="n">
        <x:v>3305</x:v>
      </x:c>
      <x:c r="P159" s="11" t="n">
        <x:v>107</x:v>
      </x:c>
    </x:row>
    <x:row r="160">
      <x:c r="A160" s="11" t="n">
        <x:v>159</x:v>
      </x:c>
      <x:c r="B160" s="11" t="str">
        <x:v>2026-07-22</x:v>
      </x:c>
      <x:c r="C160" s="11" t="str">
        <x:v>L2</x:v>
      </x:c>
      <x:c r="D160" s="11" t="str">
        <x:v>Envasado B</x:v>
      </x:c>
      <x:c r="E160" s="11" t="str">
        <x:v>Matutino</x:v>
      </x:c>
      <x:c r="F160" s="11" t="str">
        <x:v>P003</x:v>
      </x:c>
      <x:c r="G160" s="11" t="str">
        <x:v>Producto Gamma</x:v>
      </x:c>
      <x:c r="H160" s="11" t="n">
        <x:v>480</x:v>
      </x:c>
      <x:c r="I160" s="11" t="n">
        <x:v>33</x:v>
      </x:c>
      <x:c r="J160" s="11" t="n">
        <x:v>48</x:v>
      </x:c>
      <x:c r="K160" s="11" t="n">
        <x:v>399</x:v>
      </x:c>
      <x:c r="L160" s="11" t="n">
        <x:v>7.5</x:v>
      </x:c>
      <x:c r="M160" s="11" t="n">
        <x:v>3017</x:v>
      </x:c>
      <x:c r="N160" s="11" t="n">
        <x:v>2654</x:v>
      </x:c>
      <x:c r="O160" s="11" t="n">
        <x:v>2494</x:v>
      </x:c>
      <x:c r="P160" s="11" t="n">
        <x:v>160</x:v>
      </x:c>
    </x:row>
    <x:row r="161">
      <x:c r="A161" s="11" t="n">
        <x:v>160</x:v>
      </x:c>
      <x:c r="B161" s="11" t="str">
        <x:v>2026-07-22</x:v>
      </x:c>
      <x:c r="C161" s="11" t="str">
        <x:v>L2</x:v>
      </x:c>
      <x:c r="D161" s="11" t="str">
        <x:v>Envasado B</x:v>
      </x:c>
      <x:c r="E161" s="11" t="str">
        <x:v>Vespertino</x:v>
      </x:c>
      <x:c r="F161" s="11" t="str">
        <x:v>P002</x:v>
      </x:c>
      <x:c r="G161" s="11" t="str">
        <x:v>Producto Beta</x:v>
      </x:c>
      <x:c r="H161" s="11" t="n">
        <x:v>480</x:v>
      </x:c>
      <x:c r="I161" s="11" t="n">
        <x:v>23</x:v>
      </x:c>
      <x:c r="J161" s="11" t="n">
        <x:v>31</x:v>
      </x:c>
      <x:c r="K161" s="11" t="n">
        <x:v>426</x:v>
      </x:c>
      <x:c r="L161" s="11" t="n">
        <x:v>7.5</x:v>
      </x:c>
      <x:c r="M161" s="11" t="n">
        <x:v>3084</x:v>
      </x:c>
      <x:c r="N161" s="11" t="n">
        <x:v>2739</x:v>
      </x:c>
      <x:c r="O161" s="11" t="n">
        <x:v>2574</x:v>
      </x:c>
      <x:c r="P161" s="11" t="n">
        <x:v>165</x:v>
      </x:c>
    </x:row>
    <x:row r="162">
      <x:c r="A162" s="11" t="n">
        <x:v>161</x:v>
      </x:c>
      <x:c r="B162" s="11" t="str">
        <x:v>2026-07-22</x:v>
      </x:c>
      <x:c r="C162" s="11" t="str">
        <x:v>L3</x:v>
      </x:c>
      <x:c r="D162" s="11" t="str">
        <x:v>Empaque</x:v>
      </x:c>
      <x:c r="E162" s="11" t="str">
        <x:v>Matutino</x:v>
      </x:c>
      <x:c r="F162" s="11" t="str">
        <x:v>P001</x:v>
      </x:c>
      <x:c r="G162" s="11" t="str">
        <x:v>Producto Alfa</x:v>
      </x:c>
      <x:c r="H162" s="11" t="n">
        <x:v>480</x:v>
      </x:c>
      <x:c r="I162" s="11" t="n">
        <x:v>34</x:v>
      </x:c>
      <x:c r="J162" s="11" t="n">
        <x:v>50</x:v>
      </x:c>
      <x:c r="K162" s="11" t="n">
        <x:v>396</x:v>
      </x:c>
      <x:c r="L162" s="11" t="n">
        <x:v>8.67</x:v>
      </x:c>
      <x:c r="M162" s="11" t="n">
        <x:v>3478</x:v>
      </x:c>
      <x:c r="N162" s="11" t="n">
        <x:v>3163</x:v>
      </x:c>
      <x:c r="O162" s="11" t="n">
        <x:v>3023</x:v>
      </x:c>
      <x:c r="P162" s="11" t="n">
        <x:v>140</x:v>
      </x:c>
    </x:row>
    <x:row r="163">
      <x:c r="A163" s="11" t="n">
        <x:v>162</x:v>
      </x:c>
      <x:c r="B163" s="11" t="str">
        <x:v>2026-07-22</x:v>
      </x:c>
      <x:c r="C163" s="11" t="str">
        <x:v>L3</x:v>
      </x:c>
      <x:c r="D163" s="11" t="str">
        <x:v>Empaque</x:v>
      </x:c>
      <x:c r="E163" s="11" t="str">
        <x:v>Vespertino</x:v>
      </x:c>
      <x:c r="F163" s="11" t="str">
        <x:v>P001</x:v>
      </x:c>
      <x:c r="G163" s="11" t="str">
        <x:v>Producto Alfa</x:v>
      </x:c>
      <x:c r="H163" s="11" t="n">
        <x:v>480</x:v>
      </x:c>
      <x:c r="I163" s="11" t="n">
        <x:v>22</x:v>
      </x:c>
      <x:c r="J163" s="11" t="n">
        <x:v>43</x:v>
      </x:c>
      <x:c r="K163" s="11" t="n">
        <x:v>415</x:v>
      </x:c>
      <x:c r="L163" s="11" t="n">
        <x:v>8.67</x:v>
      </x:c>
      <x:c r="M163" s="11" t="n">
        <x:v>3572</x:v>
      </x:c>
      <x:c r="N163" s="11" t="n">
        <x:v>3571</x:v>
      </x:c>
      <x:c r="O163" s="11" t="n">
        <x:v>3408</x:v>
      </x:c>
      <x:c r="P163" s="11" t="n">
        <x:v>163</x:v>
      </x:c>
    </x:row>
    <x:row r="164">
      <x:c r="A164" s="11" t="n">
        <x:v>163</x:v>
      </x:c>
      <x:c r="B164" s="11" t="str">
        <x:v>2026-07-22</x:v>
      </x:c>
      <x:c r="C164" s="11" t="str">
        <x:v>L4</x:v>
      </x:c>
      <x:c r="D164" s="11" t="str">
        <x:v>Etiquetado</x:v>
      </x:c>
      <x:c r="E164" s="11" t="str">
        <x:v>Matutino</x:v>
      </x:c>
      <x:c r="F164" s="11" t="str">
        <x:v>P003</x:v>
      </x:c>
      <x:c r="G164" s="11" t="str">
        <x:v>Producto Gamma</x:v>
      </x:c>
      <x:c r="H164" s="11" t="n">
        <x:v>480</x:v>
      </x:c>
      <x:c r="I164" s="11" t="n">
        <x:v>33</x:v>
      </x:c>
      <x:c r="J164" s="11" t="n">
        <x:v>110</x:v>
      </x:c>
      <x:c r="K164" s="11" t="n">
        <x:v>337</x:v>
      </x:c>
      <x:c r="L164" s="11" t="n">
        <x:v>10</x:v>
      </x:c>
      <x:c r="M164" s="11" t="n">
        <x:v>4023</x:v>
      </x:c>
      <x:c r="N164" s="11" t="n">
        <x:v>2884</x:v>
      </x:c>
      <x:c r="O164" s="11" t="n">
        <x:v>2726</x:v>
      </x:c>
      <x:c r="P164" s="11" t="n">
        <x:v>158</x:v>
      </x:c>
    </x:row>
    <x:row r="165">
      <x:c r="A165" s="11" t="n">
        <x:v>164</x:v>
      </x:c>
      <x:c r="B165" s="11" t="str">
        <x:v>2026-07-22</x:v>
      </x:c>
      <x:c r="C165" s="11" t="str">
        <x:v>L4</x:v>
      </x:c>
      <x:c r="D165" s="11" t="str">
        <x:v>Etiquetado</x:v>
      </x:c>
      <x:c r="E165" s="11" t="str">
        <x:v>Vespertino</x:v>
      </x:c>
      <x:c r="F165" s="11" t="str">
        <x:v>P001</x:v>
      </x:c>
      <x:c r="G165" s="11" t="str">
        <x:v>Producto Alfa</x:v>
      </x:c>
      <x:c r="H165" s="11" t="n">
        <x:v>480</x:v>
      </x:c>
      <x:c r="I165" s="11" t="n">
        <x:v>20</x:v>
      </x:c>
      <x:c r="J165" s="11" t="n">
        <x:v>12</x:v>
      </x:c>
      <x:c r="K165" s="11" t="n">
        <x:v>448</x:v>
      </x:c>
      <x:c r="L165" s="11" t="n">
        <x:v>10</x:v>
      </x:c>
      <x:c r="M165" s="11" t="n">
        <x:v>4140</x:v>
      </x:c>
      <x:c r="N165" s="11" t="n">
        <x:v>3789</x:v>
      </x:c>
      <x:c r="O165" s="11" t="n">
        <x:v>3649</x:v>
      </x:c>
      <x:c r="P165" s="11" t="n">
        <x:v>140</x:v>
      </x:c>
    </x:row>
    <x:row r="166">
      <x:c r="A166" s="11" t="n">
        <x:v>165</x:v>
      </x:c>
      <x:c r="B166" s="11" t="str">
        <x:v>2026-07-23</x:v>
      </x:c>
      <x:c r="C166" s="11" t="str">
        <x:v>L1</x:v>
      </x:c>
      <x:c r="D166" s="11" t="str">
        <x:v>Envasado A</x:v>
      </x:c>
      <x:c r="E166" s="11" t="str">
        <x:v>Matutino</x:v>
      </x:c>
      <x:c r="F166" s="11" t="str">
        <x:v>P002</x:v>
      </x:c>
      <x:c r="G166" s="11" t="str">
        <x:v>Producto Beta</x:v>
      </x:c>
      <x:c r="H166" s="11" t="n">
        <x:v>480</x:v>
      </x:c>
      <x:c r="I166" s="11" t="n">
        <x:v>20</x:v>
      </x:c>
      <x:c r="J166" s="11" t="n">
        <x:v>51</x:v>
      </x:c>
      <x:c r="K166" s="11" t="n">
        <x:v>409</x:v>
      </x:c>
      <x:c r="L166" s="11" t="n">
        <x:v>8</x:v>
      </x:c>
      <x:c r="M166" s="11" t="n">
        <x:v>3312</x:v>
      </x:c>
      <x:c r="N166" s="11" t="n">
        <x:v>2974</x:v>
      </x:c>
      <x:c r="O166" s="11" t="n">
        <x:v>2832</x:v>
      </x:c>
      <x:c r="P166" s="11" t="n">
        <x:v>142</x:v>
      </x:c>
    </x:row>
    <x:row r="167">
      <x:c r="A167" s="11" t="n">
        <x:v>166</x:v>
      </x:c>
      <x:c r="B167" s="11" t="str">
        <x:v>2026-07-23</x:v>
      </x:c>
      <x:c r="C167" s="11" t="str">
        <x:v>L1</x:v>
      </x:c>
      <x:c r="D167" s="11" t="str">
        <x:v>Envasado A</x:v>
      </x:c>
      <x:c r="E167" s="11" t="str">
        <x:v>Vespertino</x:v>
      </x:c>
      <x:c r="F167" s="11" t="str">
        <x:v>P002</x:v>
      </x:c>
      <x:c r="G167" s="11" t="str">
        <x:v>Producto Beta</x:v>
      </x:c>
      <x:c r="H167" s="11" t="n">
        <x:v>480</x:v>
      </x:c>
      <x:c r="I167" s="11" t="n">
        <x:v>26</x:v>
      </x:c>
      <x:c r="J167" s="11" t="n">
        <x:v>0</x:v>
      </x:c>
      <x:c r="K167" s="11" t="n">
        <x:v>454</x:v>
      </x:c>
      <x:c r="L167" s="11" t="n">
        <x:v>8</x:v>
      </x:c>
      <x:c r="M167" s="11" t="n">
        <x:v>3268</x:v>
      </x:c>
      <x:c r="N167" s="11" t="n">
        <x:v>3184</x:v>
      </x:c>
      <x:c r="O167" s="11" t="n">
        <x:v>3011</x:v>
      </x:c>
      <x:c r="P167" s="11" t="n">
        <x:v>173</x:v>
      </x:c>
    </x:row>
    <x:row r="168">
      <x:c r="A168" s="11" t="n">
        <x:v>167</x:v>
      </x:c>
      <x:c r="B168" s="11" t="str">
        <x:v>2026-07-23</x:v>
      </x:c>
      <x:c r="C168" s="11" t="str">
        <x:v>L2</x:v>
      </x:c>
      <x:c r="D168" s="11" t="str">
        <x:v>Envasado B</x:v>
      </x:c>
      <x:c r="E168" s="11" t="str">
        <x:v>Matutino</x:v>
      </x:c>
      <x:c r="F168" s="11" t="str">
        <x:v>P001</x:v>
      </x:c>
      <x:c r="G168" s="11" t="str">
        <x:v>Producto Alfa</x:v>
      </x:c>
      <x:c r="H168" s="11" t="n">
        <x:v>480</x:v>
      </x:c>
      <x:c r="I168" s="11" t="n">
        <x:v>20</x:v>
      </x:c>
      <x:c r="J168" s="11" t="n">
        <x:v>11</x:v>
      </x:c>
      <x:c r="K168" s="11" t="n">
        <x:v>449</x:v>
      </x:c>
      <x:c r="L168" s="11" t="n">
        <x:v>7.5</x:v>
      </x:c>
      <x:c r="M168" s="11" t="n">
        <x:v>3105</x:v>
      </x:c>
      <x:c r="N168" s="11" t="n">
        <x:v>3268</x:v>
      </x:c>
      <x:c r="O168" s="11" t="n">
        <x:v>3114</x:v>
      </x:c>
      <x:c r="P168" s="11" t="n">
        <x:v>154</x:v>
      </x:c>
    </x:row>
    <x:row r="169">
      <x:c r="A169" s="11" t="n">
        <x:v>168</x:v>
      </x:c>
      <x:c r="B169" s="11" t="str">
        <x:v>2026-07-23</x:v>
      </x:c>
      <x:c r="C169" s="11" t="str">
        <x:v>L2</x:v>
      </x:c>
      <x:c r="D169" s="11" t="str">
        <x:v>Envasado B</x:v>
      </x:c>
      <x:c r="E169" s="11" t="str">
        <x:v>Vespertino</x:v>
      </x:c>
      <x:c r="F169" s="11" t="str">
        <x:v>P003</x:v>
      </x:c>
      <x:c r="G169" s="11" t="str">
        <x:v>Producto Gamma</x:v>
      </x:c>
      <x:c r="H169" s="11" t="n">
        <x:v>480</x:v>
      </x:c>
      <x:c r="I169" s="11" t="n">
        <x:v>16</x:v>
      </x:c>
      <x:c r="J169" s="11" t="n">
        <x:v>79</x:v>
      </x:c>
      <x:c r="K169" s="11" t="n">
        <x:v>385</x:v>
      </x:c>
      <x:c r="L169" s="11" t="n">
        <x:v>7.5</x:v>
      </x:c>
      <x:c r="M169" s="11" t="n">
        <x:v>3132</x:v>
      </x:c>
      <x:c r="N169" s="11" t="n">
        <x:v>2519</x:v>
      </x:c>
      <x:c r="O169" s="11" t="n">
        <x:v>2400</x:v>
      </x:c>
      <x:c r="P169" s="11" t="n">
        <x:v>119</x:v>
      </x:c>
    </x:row>
    <x:row r="170">
      <x:c r="A170" s="11" t="n">
        <x:v>169</x:v>
      </x:c>
      <x:c r="B170" s="11" t="str">
        <x:v>2026-07-23</x:v>
      </x:c>
      <x:c r="C170" s="11" t="str">
        <x:v>L3</x:v>
      </x:c>
      <x:c r="D170" s="11" t="str">
        <x:v>Empaque</x:v>
      </x:c>
      <x:c r="E170" s="11" t="str">
        <x:v>Matutino</x:v>
      </x:c>
      <x:c r="F170" s="11" t="str">
        <x:v>P002</x:v>
      </x:c>
      <x:c r="G170" s="11" t="str">
        <x:v>Producto Beta</x:v>
      </x:c>
      <x:c r="H170" s="11" t="n">
        <x:v>480</x:v>
      </x:c>
      <x:c r="I170" s="11" t="n">
        <x:v>18</x:v>
      </x:c>
      <x:c r="J170" s="11" t="n">
        <x:v>49</x:v>
      </x:c>
      <x:c r="K170" s="11" t="n">
        <x:v>413</x:v>
      </x:c>
      <x:c r="L170" s="11" t="n">
        <x:v>8.67</x:v>
      </x:c>
      <x:c r="M170" s="11" t="n">
        <x:v>3603</x:v>
      </x:c>
      <x:c r="N170" s="11" t="n">
        <x:v>3226</x:v>
      </x:c>
      <x:c r="O170" s="11" t="n">
        <x:v>2917</x:v>
      </x:c>
      <x:c r="P170" s="11" t="n">
        <x:v>309</x:v>
      </x:c>
    </x:row>
    <x:row r="171">
      <x:c r="A171" s="11" t="n">
        <x:v>170</x:v>
      </x:c>
      <x:c r="B171" s="11" t="str">
        <x:v>2026-07-23</x:v>
      </x:c>
      <x:c r="C171" s="11" t="str">
        <x:v>L3</x:v>
      </x:c>
      <x:c r="D171" s="11" t="str">
        <x:v>Empaque</x:v>
      </x:c>
      <x:c r="E171" s="11" t="str">
        <x:v>Vespertino</x:v>
      </x:c>
      <x:c r="F171" s="11" t="str">
        <x:v>P003</x:v>
      </x:c>
      <x:c r="G171" s="11" t="str">
        <x:v>Producto Gamma</x:v>
      </x:c>
      <x:c r="H171" s="11" t="n">
        <x:v>480</x:v>
      </x:c>
      <x:c r="I171" s="11" t="n">
        <x:v>32</x:v>
      </x:c>
      <x:c r="J171" s="11" t="n">
        <x:v>22</x:v>
      </x:c>
      <x:c r="K171" s="11" t="n">
        <x:v>426</x:v>
      </x:c>
      <x:c r="L171" s="11" t="n">
        <x:v>8.67</x:v>
      </x:c>
      <x:c r="M171" s="11" t="n">
        <x:v>3494</x:v>
      </x:c>
      <x:c r="N171" s="11" t="n">
        <x:v>3305</x:v>
      </x:c>
      <x:c r="O171" s="11" t="n">
        <x:v>3142</x:v>
      </x:c>
      <x:c r="P171" s="11" t="n">
        <x:v>163</x:v>
      </x:c>
    </x:row>
    <x:row r="172">
      <x:c r="A172" s="11" t="n">
        <x:v>171</x:v>
      </x:c>
      <x:c r="B172" s="11" t="str">
        <x:v>2026-07-23</x:v>
      </x:c>
      <x:c r="C172" s="11" t="str">
        <x:v>L4</x:v>
      </x:c>
      <x:c r="D172" s="11" t="str">
        <x:v>Etiquetado</x:v>
      </x:c>
      <x:c r="E172" s="11" t="str">
        <x:v>Matutino</x:v>
      </x:c>
      <x:c r="F172" s="11" t="str">
        <x:v>P003</x:v>
      </x:c>
      <x:c r="G172" s="11" t="str">
        <x:v>Producto Gamma</x:v>
      </x:c>
      <x:c r="H172" s="11" t="n">
        <x:v>480</x:v>
      </x:c>
      <x:c r="I172" s="11" t="n">
        <x:v>26</x:v>
      </x:c>
      <x:c r="J172" s="11" t="n">
        <x:v>9</x:v>
      </x:c>
      <x:c r="K172" s="11" t="n">
        <x:v>445</x:v>
      </x:c>
      <x:c r="L172" s="11" t="n">
        <x:v>10</x:v>
      </x:c>
      <x:c r="M172" s="11" t="n">
        <x:v>4086</x:v>
      </x:c>
      <x:c r="N172" s="11" t="n">
        <x:v>3885</x:v>
      </x:c>
      <x:c r="O172" s="11" t="n">
        <x:v>3676</x:v>
      </x:c>
      <x:c r="P172" s="11" t="n">
        <x:v>209</x:v>
      </x:c>
    </x:row>
    <x:row r="173">
      <x:c r="A173" s="11" t="n">
        <x:v>172</x:v>
      </x:c>
      <x:c r="B173" s="11" t="str">
        <x:v>2026-07-23</x:v>
      </x:c>
      <x:c r="C173" s="11" t="str">
        <x:v>L4</x:v>
      </x:c>
      <x:c r="D173" s="11" t="str">
        <x:v>Etiquetado</x:v>
      </x:c>
      <x:c r="E173" s="11" t="str">
        <x:v>Vespertino</x:v>
      </x:c>
      <x:c r="F173" s="11" t="str">
        <x:v>P002</x:v>
      </x:c>
      <x:c r="G173" s="11" t="str">
        <x:v>Producto Beta</x:v>
      </x:c>
      <x:c r="H173" s="11" t="n">
        <x:v>480</x:v>
      </x:c>
      <x:c r="I173" s="11" t="n">
        <x:v>32</x:v>
      </x:c>
      <x:c r="J173" s="11" t="n">
        <x:v>30</x:v>
      </x:c>
      <x:c r="K173" s="11" t="n">
        <x:v>418</x:v>
      </x:c>
      <x:c r="L173" s="11" t="n">
        <x:v>10</x:v>
      </x:c>
      <x:c r="M173" s="11" t="n">
        <x:v>4032</x:v>
      </x:c>
      <x:c r="N173" s="11" t="n">
        <x:v>3909</x:v>
      </x:c>
      <x:c r="O173" s="11" t="n">
        <x:v>3702</x:v>
      </x:c>
      <x:c r="P173" s="11" t="n">
        <x:v>207</x:v>
      </x:c>
    </x:row>
    <x:row r="174">
      <x:c r="A174" s="11" t="n">
        <x:v>173</x:v>
      </x:c>
      <x:c r="B174" s="11" t="str">
        <x:v>2026-07-24</x:v>
      </x:c>
      <x:c r="C174" s="11" t="str">
        <x:v>L1</x:v>
      </x:c>
      <x:c r="D174" s="11" t="str">
        <x:v>Envasado A</x:v>
      </x:c>
      <x:c r="E174" s="11" t="str">
        <x:v>Matutino</x:v>
      </x:c>
      <x:c r="F174" s="11" t="str">
        <x:v>P003</x:v>
      </x:c>
      <x:c r="G174" s="11" t="str">
        <x:v>Producto Gamma</x:v>
      </x:c>
      <x:c r="H174" s="11" t="n">
        <x:v>480</x:v>
      </x:c>
      <x:c r="I174" s="11" t="n">
        <x:v>30</x:v>
      </x:c>
      <x:c r="J174" s="11" t="n">
        <x:v>70</x:v>
      </x:c>
      <x:c r="K174" s="11" t="n">
        <x:v>380</x:v>
      </x:c>
      <x:c r="L174" s="11" t="n">
        <x:v>8</x:v>
      </x:c>
      <x:c r="M174" s="11" t="n">
        <x:v>3240</x:v>
      </x:c>
      <x:c r="N174" s="11" t="n">
        <x:v>3020</x:v>
      </x:c>
      <x:c r="O174" s="11" t="n">
        <x:v>2848</x:v>
      </x:c>
      <x:c r="P174" s="11" t="n">
        <x:v>172</x:v>
      </x:c>
    </x:row>
    <x:row r="175">
      <x:c r="A175" s="11" t="n">
        <x:v>174</x:v>
      </x:c>
      <x:c r="B175" s="11" t="str">
        <x:v>2026-07-24</x:v>
      </x:c>
      <x:c r="C175" s="11" t="str">
        <x:v>L1</x:v>
      </x:c>
      <x:c r="D175" s="11" t="str">
        <x:v>Envasado A</x:v>
      </x:c>
      <x:c r="E175" s="11" t="str">
        <x:v>Vespertino</x:v>
      </x:c>
      <x:c r="F175" s="11" t="str">
        <x:v>P001</x:v>
      </x:c>
      <x:c r="G175" s="11" t="str">
        <x:v>Producto Alfa</x:v>
      </x:c>
      <x:c r="H175" s="11" t="n">
        <x:v>480</x:v>
      </x:c>
      <x:c r="I175" s="11" t="n">
        <x:v>24</x:v>
      </x:c>
      <x:c r="J175" s="11" t="n">
        <x:v>17</x:v>
      </x:c>
      <x:c r="K175" s="11" t="n">
        <x:v>439</x:v>
      </x:c>
      <x:c r="L175" s="11" t="n">
        <x:v>8</x:v>
      </x:c>
      <x:c r="M175" s="11" t="n">
        <x:v>3283</x:v>
      </x:c>
      <x:c r="N175" s="11" t="n">
        <x:v>3005</x:v>
      </x:c>
      <x:c r="O175" s="11" t="n">
        <x:v>2870</x:v>
      </x:c>
      <x:c r="P175" s="11" t="n">
        <x:v>135</x:v>
      </x:c>
    </x:row>
    <x:row r="176">
      <x:c r="A176" s="11" t="n">
        <x:v>175</x:v>
      </x:c>
      <x:c r="B176" s="11" t="str">
        <x:v>2026-07-24</x:v>
      </x:c>
      <x:c r="C176" s="11" t="str">
        <x:v>L2</x:v>
      </x:c>
      <x:c r="D176" s="11" t="str">
        <x:v>Envasado B</x:v>
      </x:c>
      <x:c r="E176" s="11" t="str">
        <x:v>Matutino</x:v>
      </x:c>
      <x:c r="F176" s="11" t="str">
        <x:v>P001</x:v>
      </x:c>
      <x:c r="G176" s="11" t="str">
        <x:v>Producto Alfa</x:v>
      </x:c>
      <x:c r="H176" s="11" t="n">
        <x:v>480</x:v>
      </x:c>
      <x:c r="I176" s="11" t="n">
        <x:v>22</x:v>
      </x:c>
      <x:c r="J176" s="11" t="n">
        <x:v>76</x:v>
      </x:c>
      <x:c r="K176" s="11" t="n">
        <x:v>382</x:v>
      </x:c>
      <x:c r="L176" s="11" t="n">
        <x:v>7.5</x:v>
      </x:c>
      <x:c r="M176" s="11" t="n">
        <x:v>3091</x:v>
      </x:c>
      <x:c r="N176" s="11" t="n">
        <x:v>2593</x:v>
      </x:c>
      <x:c r="O176" s="11" t="n">
        <x:v>2474</x:v>
      </x:c>
      <x:c r="P176" s="11" t="n">
        <x:v>119</x:v>
      </x:c>
    </x:row>
    <x:row r="177">
      <x:c r="A177" s="11" t="n">
        <x:v>176</x:v>
      </x:c>
      <x:c r="B177" s="11" t="str">
        <x:v>2026-07-24</x:v>
      </x:c>
      <x:c r="C177" s="11" t="str">
        <x:v>L2</x:v>
      </x:c>
      <x:c r="D177" s="11" t="str">
        <x:v>Envasado B</x:v>
      </x:c>
      <x:c r="E177" s="11" t="str">
        <x:v>Vespertino</x:v>
      </x:c>
      <x:c r="F177" s="11" t="str">
        <x:v>P001</x:v>
      </x:c>
      <x:c r="G177" s="11" t="str">
        <x:v>Producto Alfa</x:v>
      </x:c>
      <x:c r="H177" s="11" t="n">
        <x:v>480</x:v>
      </x:c>
      <x:c r="I177" s="11" t="n">
        <x:v>30</x:v>
      </x:c>
      <x:c r="J177" s="11" t="n">
        <x:v>30</x:v>
      </x:c>
      <x:c r="K177" s="11" t="n">
        <x:v>420</x:v>
      </x:c>
      <x:c r="L177" s="11" t="n">
        <x:v>7.5</x:v>
      </x:c>
      <x:c r="M177" s="11" t="n">
        <x:v>3037</x:v>
      </x:c>
      <x:c r="N177" s="11" t="n">
        <x:v>2973</x:v>
      </x:c>
      <x:c r="O177" s="11" t="n">
        <x:v>2841</x:v>
      </x:c>
      <x:c r="P177" s="11" t="n">
        <x:v>132</x:v>
      </x:c>
    </x:row>
    <x:row r="178">
      <x:c r="A178" s="11" t="n">
        <x:v>177</x:v>
      </x:c>
      <x:c r="B178" s="11" t="str">
        <x:v>2026-07-24</x:v>
      </x:c>
      <x:c r="C178" s="11" t="str">
        <x:v>L3</x:v>
      </x:c>
      <x:c r="D178" s="11" t="str">
        <x:v>Empaque</x:v>
      </x:c>
      <x:c r="E178" s="11" t="str">
        <x:v>Matutino</x:v>
      </x:c>
      <x:c r="F178" s="11" t="str">
        <x:v>P003</x:v>
      </x:c>
      <x:c r="G178" s="11" t="str">
        <x:v>Producto Gamma</x:v>
      </x:c>
      <x:c r="H178" s="11" t="n">
        <x:v>480</x:v>
      </x:c>
      <x:c r="I178" s="11" t="n">
        <x:v>23</x:v>
      </x:c>
      <x:c r="J178" s="11" t="n">
        <x:v>6</x:v>
      </x:c>
      <x:c r="K178" s="11" t="n">
        <x:v>451</x:v>
      </x:c>
      <x:c r="L178" s="11" t="n">
        <x:v>8.67</x:v>
      </x:c>
      <x:c r="M178" s="11" t="n">
        <x:v>3564</x:v>
      </x:c>
      <x:c r="N178" s="11" t="n">
        <x:v>3659</x:v>
      </x:c>
      <x:c r="O178" s="11" t="n">
        <x:v>3428</x:v>
      </x:c>
      <x:c r="P178" s="11" t="n">
        <x:v>231</x:v>
      </x:c>
    </x:row>
    <x:row r="179">
      <x:c r="A179" s="11" t="n">
        <x:v>178</x:v>
      </x:c>
      <x:c r="B179" s="11" t="str">
        <x:v>2026-07-24</x:v>
      </x:c>
      <x:c r="C179" s="11" t="str">
        <x:v>L3</x:v>
      </x:c>
      <x:c r="D179" s="11" t="str">
        <x:v>Empaque</x:v>
      </x:c>
      <x:c r="E179" s="11" t="str">
        <x:v>Vespertino</x:v>
      </x:c>
      <x:c r="F179" s="11" t="str">
        <x:v>P001</x:v>
      </x:c>
      <x:c r="G179" s="11" t="str">
        <x:v>Producto Alfa</x:v>
      </x:c>
      <x:c r="H179" s="11" t="n">
        <x:v>480</x:v>
      </x:c>
      <x:c r="I179" s="11" t="n">
        <x:v>27</x:v>
      </x:c>
      <x:c r="J179" s="11" t="n">
        <x:v>32</x:v>
      </x:c>
      <x:c r="K179" s="11" t="n">
        <x:v>421</x:v>
      </x:c>
      <x:c r="L179" s="11" t="n">
        <x:v>8.67</x:v>
      </x:c>
      <x:c r="M179" s="11" t="n">
        <x:v>3533</x:v>
      </x:c>
      <x:c r="N179" s="11" t="n">
        <x:v>3401</x:v>
      </x:c>
      <x:c r="O179" s="11" t="n">
        <x:v>3316</x:v>
      </x:c>
      <x:c r="P179" s="11" t="n">
        <x:v>85</x:v>
      </x:c>
    </x:row>
    <x:row r="180">
      <x:c r="A180" s="11" t="n">
        <x:v>179</x:v>
      </x:c>
      <x:c r="B180" s="11" t="str">
        <x:v>2026-07-24</x:v>
      </x:c>
      <x:c r="C180" s="11" t="str">
        <x:v>L4</x:v>
      </x:c>
      <x:c r="D180" s="11" t="str">
        <x:v>Etiquetado</x:v>
      </x:c>
      <x:c r="E180" s="11" t="str">
        <x:v>Matutino</x:v>
      </x:c>
      <x:c r="F180" s="11" t="str">
        <x:v>P003</x:v>
      </x:c>
      <x:c r="G180" s="11" t="str">
        <x:v>Producto Gamma</x:v>
      </x:c>
      <x:c r="H180" s="11" t="n">
        <x:v>480</x:v>
      </x:c>
      <x:c r="I180" s="11" t="n">
        <x:v>19</x:v>
      </x:c>
      <x:c r="J180" s="11" t="n">
        <x:v>39</x:v>
      </x:c>
      <x:c r="K180" s="11" t="n">
        <x:v>422</x:v>
      </x:c>
      <x:c r="L180" s="11" t="n">
        <x:v>10</x:v>
      </x:c>
      <x:c r="M180" s="11" t="n">
        <x:v>4149</x:v>
      </x:c>
      <x:c r="N180" s="11" t="n">
        <x:v>3725</x:v>
      </x:c>
      <x:c r="O180" s="11" t="n">
        <x:v>3550</x:v>
      </x:c>
      <x:c r="P180" s="11" t="n">
        <x:v>175</x:v>
      </x:c>
    </x:row>
    <x:row r="181">
      <x:c r="A181" s="11" t="n">
        <x:v>180</x:v>
      </x:c>
      <x:c r="B181" s="11" t="str">
        <x:v>2026-07-24</x:v>
      </x:c>
      <x:c r="C181" s="11" t="str">
        <x:v>L4</x:v>
      </x:c>
      <x:c r="D181" s="11" t="str">
        <x:v>Etiquetado</x:v>
      </x:c>
      <x:c r="E181" s="11" t="str">
        <x:v>Vespertino</x:v>
      </x:c>
      <x:c r="F181" s="11" t="str">
        <x:v>P003</x:v>
      </x:c>
      <x:c r="G181" s="11" t="str">
        <x:v>Producto Gamma</x:v>
      </x:c>
      <x:c r="H181" s="11" t="n">
        <x:v>480</x:v>
      </x:c>
      <x:c r="I181" s="11" t="n">
        <x:v>23</x:v>
      </x:c>
      <x:c r="J181" s="11" t="n">
        <x:v>5</x:v>
      </x:c>
      <x:c r="K181" s="11" t="n">
        <x:v>452</x:v>
      </x:c>
      <x:c r="L181" s="11" t="n">
        <x:v>10</x:v>
      </x:c>
      <x:c r="M181" s="11" t="n">
        <x:v>4113</x:v>
      </x:c>
      <x:c r="N181" s="11" t="n">
        <x:v>4184</x:v>
      </x:c>
      <x:c r="O181" s="11" t="n">
        <x:v>3937</x:v>
      </x:c>
      <x:c r="P181" s="11" t="n">
        <x:v>247</x:v>
      </x:c>
    </x:row>
    <x:row r="182">
      <x:c r="A182" s="11" t="n">
        <x:v>181</x:v>
      </x:c>
      <x:c r="B182" s="11" t="str">
        <x:v>2026-07-25</x:v>
      </x:c>
      <x:c r="C182" s="11" t="str">
        <x:v>L1</x:v>
      </x:c>
      <x:c r="D182" s="11" t="str">
        <x:v>Envasado A</x:v>
      </x:c>
      <x:c r="E182" s="11" t="str">
        <x:v>Matutino</x:v>
      </x:c>
      <x:c r="F182" s="11" t="str">
        <x:v>P002</x:v>
      </x:c>
      <x:c r="G182" s="11" t="str">
        <x:v>Producto Beta</x:v>
      </x:c>
      <x:c r="H182" s="11" t="n">
        <x:v>480</x:v>
      </x:c>
      <x:c r="I182" s="11" t="n">
        <x:v>33</x:v>
      </x:c>
      <x:c r="J182" s="11" t="n">
        <x:v>0</x:v>
      </x:c>
      <x:c r="K182" s="11" t="n">
        <x:v>447</x:v>
      </x:c>
      <x:c r="L182" s="11" t="n">
        <x:v>8</x:v>
      </x:c>
      <x:c r="M182" s="11" t="n">
        <x:v>3218</x:v>
      </x:c>
      <x:c r="N182" s="11" t="n">
        <x:v>3140</x:v>
      </x:c>
      <x:c r="O182" s="11" t="n">
        <x:v>2978</x:v>
      </x:c>
      <x:c r="P182" s="11" t="n">
        <x:v>162</x:v>
      </x:c>
    </x:row>
    <x:row r="183">
      <x:c r="A183" s="11" t="n">
        <x:v>182</x:v>
      </x:c>
      <x:c r="B183" s="11" t="str">
        <x:v>2026-07-25</x:v>
      </x:c>
      <x:c r="C183" s="11" t="str">
        <x:v>L1</x:v>
      </x:c>
      <x:c r="D183" s="11" t="str">
        <x:v>Envasado A</x:v>
      </x:c>
      <x:c r="E183" s="11" t="str">
        <x:v>Vespertino</x:v>
      </x:c>
      <x:c r="F183" s="11" t="str">
        <x:v>P002</x:v>
      </x:c>
      <x:c r="G183" s="11" t="str">
        <x:v>Producto Beta</x:v>
      </x:c>
      <x:c r="H183" s="11" t="n">
        <x:v>480</x:v>
      </x:c>
      <x:c r="I183" s="11" t="n">
        <x:v>26</x:v>
      </x:c>
      <x:c r="J183" s="11" t="n">
        <x:v>10</x:v>
      </x:c>
      <x:c r="K183" s="11" t="n">
        <x:v>444</x:v>
      </x:c>
      <x:c r="L183" s="11" t="n">
        <x:v>8</x:v>
      </x:c>
      <x:c r="M183" s="11" t="n">
        <x:v>3268</x:v>
      </x:c>
      <x:c r="N183" s="11" t="n">
        <x:v>3098</x:v>
      </x:c>
      <x:c r="O183" s="11" t="n">
        <x:v>2966</x:v>
      </x:c>
      <x:c r="P183" s="11" t="n">
        <x:v>132</x:v>
      </x:c>
    </x:row>
    <x:row r="184">
      <x:c r="A184" s="11" t="n">
        <x:v>183</x:v>
      </x:c>
      <x:c r="B184" s="11" t="str">
        <x:v>2026-07-25</x:v>
      </x:c>
      <x:c r="C184" s="11" t="str">
        <x:v>L2</x:v>
      </x:c>
      <x:c r="D184" s="11" t="str">
        <x:v>Envasado B</x:v>
      </x:c>
      <x:c r="E184" s="11" t="str">
        <x:v>Matutino</x:v>
      </x:c>
      <x:c r="F184" s="11" t="str">
        <x:v>P002</x:v>
      </x:c>
      <x:c r="G184" s="11" t="str">
        <x:v>Producto Beta</x:v>
      </x:c>
      <x:c r="H184" s="11" t="n">
        <x:v>480</x:v>
      </x:c>
      <x:c r="I184" s="11" t="n">
        <x:v>29</x:v>
      </x:c>
      <x:c r="J184" s="11" t="n">
        <x:v>68</x:v>
      </x:c>
      <x:c r="K184" s="11" t="n">
        <x:v>383</x:v>
      </x:c>
      <x:c r="L184" s="11" t="n">
        <x:v>7.5</x:v>
      </x:c>
      <x:c r="M184" s="11" t="n">
        <x:v>3044</x:v>
      </x:c>
      <x:c r="N184" s="11" t="n">
        <x:v>2507</x:v>
      </x:c>
      <x:c r="O184" s="11" t="n">
        <x:v>2378</x:v>
      </x:c>
      <x:c r="P184" s="11" t="n">
        <x:v>129</x:v>
      </x:c>
    </x:row>
    <x:row r="185">
      <x:c r="A185" s="11" t="n">
        <x:v>184</x:v>
      </x:c>
      <x:c r="B185" s="11" t="str">
        <x:v>2026-07-25</x:v>
      </x:c>
      <x:c r="C185" s="11" t="str">
        <x:v>L2</x:v>
      </x:c>
      <x:c r="D185" s="11" t="str">
        <x:v>Envasado B</x:v>
      </x:c>
      <x:c r="E185" s="11" t="str">
        <x:v>Vespertino</x:v>
      </x:c>
      <x:c r="F185" s="11" t="str">
        <x:v>P002</x:v>
      </x:c>
      <x:c r="G185" s="11" t="str">
        <x:v>Producto Beta</x:v>
      </x:c>
      <x:c r="H185" s="11" t="n">
        <x:v>480</x:v>
      </x:c>
      <x:c r="I185" s="11" t="n">
        <x:v>22</x:v>
      </x:c>
      <x:c r="J185" s="11" t="n">
        <x:v>26</x:v>
      </x:c>
      <x:c r="K185" s="11" t="n">
        <x:v>432</x:v>
      </x:c>
      <x:c r="L185" s="11" t="n">
        <x:v>7.5</x:v>
      </x:c>
      <x:c r="M185" s="11" t="n">
        <x:v>3091</x:v>
      </x:c>
      <x:c r="N185" s="11" t="n">
        <x:v>3041</x:v>
      </x:c>
      <x:c r="O185" s="11" t="n">
        <x:v>2829</x:v>
      </x:c>
      <x:c r="P185" s="11" t="n">
        <x:v>212</x:v>
      </x:c>
    </x:row>
    <x:row r="186">
      <x:c r="A186" s="11" t="n">
        <x:v>185</x:v>
      </x:c>
      <x:c r="B186" s="11" t="str">
        <x:v>2026-07-25</x:v>
      </x:c>
      <x:c r="C186" s="11" t="str">
        <x:v>L3</x:v>
      </x:c>
      <x:c r="D186" s="11" t="str">
        <x:v>Empaque</x:v>
      </x:c>
      <x:c r="E186" s="11" t="str">
        <x:v>Matutino</x:v>
      </x:c>
      <x:c r="F186" s="11" t="str">
        <x:v>P002</x:v>
      </x:c>
      <x:c r="G186" s="11" t="str">
        <x:v>Producto Beta</x:v>
      </x:c>
      <x:c r="H186" s="11" t="n">
        <x:v>480</x:v>
      </x:c>
      <x:c r="I186" s="11" t="n">
        <x:v>30</x:v>
      </x:c>
      <x:c r="J186" s="11" t="n">
        <x:v>16</x:v>
      </x:c>
      <x:c r="K186" s="11" t="n">
        <x:v>434</x:v>
      </x:c>
      <x:c r="L186" s="11" t="n">
        <x:v>8.67</x:v>
      </x:c>
      <x:c r="M186" s="11" t="n">
        <x:v>3509</x:v>
      </x:c>
      <x:c r="N186" s="11" t="n">
        <x:v>3125</x:v>
      </x:c>
      <x:c r="O186" s="11" t="n">
        <x:v>2895</x:v>
      </x:c>
      <x:c r="P186" s="11" t="n">
        <x:v>230</x:v>
      </x:c>
    </x:row>
    <x:row r="187">
      <x:c r="A187" s="11" t="n">
        <x:v>186</x:v>
      </x:c>
      <x:c r="B187" s="11" t="str">
        <x:v>2026-07-25</x:v>
      </x:c>
      <x:c r="C187" s="11" t="str">
        <x:v>L3</x:v>
      </x:c>
      <x:c r="D187" s="11" t="str">
        <x:v>Empaque</x:v>
      </x:c>
      <x:c r="E187" s="11" t="str">
        <x:v>Vespertino</x:v>
      </x:c>
      <x:c r="F187" s="11" t="str">
        <x:v>P003</x:v>
      </x:c>
      <x:c r="G187" s="11" t="str">
        <x:v>Producto Gamma</x:v>
      </x:c>
      <x:c r="H187" s="11" t="n">
        <x:v>480</x:v>
      </x:c>
      <x:c r="I187" s="11" t="n">
        <x:v>19</x:v>
      </x:c>
      <x:c r="J187" s="11" t="n">
        <x:v>49</x:v>
      </x:c>
      <x:c r="K187" s="11" t="n">
        <x:v>412</x:v>
      </x:c>
      <x:c r="L187" s="11" t="n">
        <x:v>8.67</x:v>
      </x:c>
      <x:c r="M187" s="11" t="n">
        <x:v>3595</x:v>
      </x:c>
      <x:c r="N187" s="11" t="n">
        <x:v>3205</x:v>
      </x:c>
      <x:c r="O187" s="11" t="n">
        <x:v>3045</x:v>
      </x:c>
      <x:c r="P187" s="11" t="n">
        <x:v>160</x:v>
      </x:c>
    </x:row>
    <x:row r="188">
      <x:c r="A188" s="11" t="n">
        <x:v>187</x:v>
      </x:c>
      <x:c r="B188" s="11" t="str">
        <x:v>2026-07-25</x:v>
      </x:c>
      <x:c r="C188" s="11" t="str">
        <x:v>L4</x:v>
      </x:c>
      <x:c r="D188" s="11" t="str">
        <x:v>Etiquetado</x:v>
      </x:c>
      <x:c r="E188" s="11" t="str">
        <x:v>Matutino</x:v>
      </x:c>
      <x:c r="F188" s="11" t="str">
        <x:v>P003</x:v>
      </x:c>
      <x:c r="G188" s="11" t="str">
        <x:v>Producto Gamma</x:v>
      </x:c>
      <x:c r="H188" s="11" t="n">
        <x:v>480</x:v>
      </x:c>
      <x:c r="I188" s="11" t="n">
        <x:v>33</x:v>
      </x:c>
      <x:c r="J188" s="11" t="n">
        <x:v>23</x:v>
      </x:c>
      <x:c r="K188" s="11" t="n">
        <x:v>424</x:v>
      </x:c>
      <x:c r="L188" s="11" t="n">
        <x:v>10</x:v>
      </x:c>
      <x:c r="M188" s="11" t="n">
        <x:v>4023</x:v>
      </x:c>
      <x:c r="N188" s="11" t="n">
        <x:v>3934</x:v>
      </x:c>
      <x:c r="O188" s="11" t="n">
        <x:v>3749</x:v>
      </x:c>
      <x:c r="P188" s="11" t="n">
        <x:v>185</x:v>
      </x:c>
    </x:row>
    <x:row r="189">
      <x:c r="A189" s="11" t="n">
        <x:v>188</x:v>
      </x:c>
      <x:c r="B189" s="11" t="str">
        <x:v>2026-07-25</x:v>
      </x:c>
      <x:c r="C189" s="11" t="str">
        <x:v>L4</x:v>
      </x:c>
      <x:c r="D189" s="11" t="str">
        <x:v>Etiquetado</x:v>
      </x:c>
      <x:c r="E189" s="11" t="str">
        <x:v>Vespertino</x:v>
      </x:c>
      <x:c r="F189" s="11" t="str">
        <x:v>P002</x:v>
      </x:c>
      <x:c r="G189" s="11" t="str">
        <x:v>Producto Beta</x:v>
      </x:c>
      <x:c r="H189" s="11" t="n">
        <x:v>480</x:v>
      </x:c>
      <x:c r="I189" s="11" t="n">
        <x:v>15</x:v>
      </x:c>
      <x:c r="J189" s="11" t="n">
        <x:v>19</x:v>
      </x:c>
      <x:c r="K189" s="11" t="n">
        <x:v>446</x:v>
      </x:c>
      <x:c r="L189" s="11" t="n">
        <x:v>10</x:v>
      </x:c>
      <x:c r="M189" s="11" t="n">
        <x:v>4185</x:v>
      </x:c>
      <x:c r="N189" s="11" t="n">
        <x:v>4023</x:v>
      </x:c>
      <x:c r="O189" s="11" t="n">
        <x:v>3732</x:v>
      </x:c>
      <x:c r="P189" s="11" t="n">
        <x:v>291</x:v>
      </x:c>
    </x:row>
    <x:row r="190">
      <x:c r="A190" s="11" t="n">
        <x:v>189</x:v>
      </x:c>
      <x:c r="B190" s="11" t="str">
        <x:v>2026-07-26</x:v>
      </x:c>
      <x:c r="C190" s="11" t="str">
        <x:v>L1</x:v>
      </x:c>
      <x:c r="D190" s="11" t="str">
        <x:v>Envasado A</x:v>
      </x:c>
      <x:c r="E190" s="11" t="str">
        <x:v>Matutino</x:v>
      </x:c>
      <x:c r="F190" s="11" t="str">
        <x:v>P003</x:v>
      </x:c>
      <x:c r="G190" s="11" t="str">
        <x:v>Producto Gamma</x:v>
      </x:c>
      <x:c r="H190" s="11" t="n">
        <x:v>480</x:v>
      </x:c>
      <x:c r="I190" s="11" t="n">
        <x:v>19</x:v>
      </x:c>
      <x:c r="J190" s="11" t="n">
        <x:v>62</x:v>
      </x:c>
      <x:c r="K190" s="11" t="n">
        <x:v>399</x:v>
      </x:c>
      <x:c r="L190" s="11" t="n">
        <x:v>8</x:v>
      </x:c>
      <x:c r="M190" s="11" t="n">
        <x:v>3319</x:v>
      </x:c>
      <x:c r="N190" s="11" t="n">
        <x:v>3018</x:v>
      </x:c>
      <x:c r="O190" s="11" t="n">
        <x:v>2862</x:v>
      </x:c>
      <x:c r="P190" s="11" t="n">
        <x:v>156</x:v>
      </x:c>
    </x:row>
    <x:row r="191">
      <x:c r="A191" s="11" t="n">
        <x:v>190</x:v>
      </x:c>
      <x:c r="B191" s="11" t="str">
        <x:v>2026-07-26</x:v>
      </x:c>
      <x:c r="C191" s="11" t="str">
        <x:v>L1</x:v>
      </x:c>
      <x:c r="D191" s="11" t="str">
        <x:v>Envasado A</x:v>
      </x:c>
      <x:c r="E191" s="11" t="str">
        <x:v>Vespertino</x:v>
      </x:c>
      <x:c r="F191" s="11" t="str">
        <x:v>P002</x:v>
      </x:c>
      <x:c r="G191" s="11" t="str">
        <x:v>Producto Beta</x:v>
      </x:c>
      <x:c r="H191" s="11" t="n">
        <x:v>480</x:v>
      </x:c>
      <x:c r="I191" s="11" t="n">
        <x:v>35</x:v>
      </x:c>
      <x:c r="J191" s="11" t="n">
        <x:v>58</x:v>
      </x:c>
      <x:c r="K191" s="11" t="n">
        <x:v>387</x:v>
      </x:c>
      <x:c r="L191" s="11" t="n">
        <x:v>8</x:v>
      </x:c>
      <x:c r="M191" s="11" t="n">
        <x:v>3204</x:v>
      </x:c>
      <x:c r="N191" s="11" t="n">
        <x:v>2926</x:v>
      </x:c>
      <x:c r="O191" s="11" t="n">
        <x:v>2765</x:v>
      </x:c>
      <x:c r="P191" s="11" t="n">
        <x:v>161</x:v>
      </x:c>
    </x:row>
    <x:row r="192">
      <x:c r="A192" s="11" t="n">
        <x:v>191</x:v>
      </x:c>
      <x:c r="B192" s="11" t="str">
        <x:v>2026-07-26</x:v>
      </x:c>
      <x:c r="C192" s="11" t="str">
        <x:v>L2</x:v>
      </x:c>
      <x:c r="D192" s="11" t="str">
        <x:v>Envasado B</x:v>
      </x:c>
      <x:c r="E192" s="11" t="str">
        <x:v>Matutino</x:v>
      </x:c>
      <x:c r="F192" s="11" t="str">
        <x:v>P003</x:v>
      </x:c>
      <x:c r="G192" s="11" t="str">
        <x:v>Producto Gamma</x:v>
      </x:c>
      <x:c r="H192" s="11" t="n">
        <x:v>480</x:v>
      </x:c>
      <x:c r="I192" s="11" t="n">
        <x:v>32</x:v>
      </x:c>
      <x:c r="J192" s="11" t="n">
        <x:v>14</x:v>
      </x:c>
      <x:c r="K192" s="11" t="n">
        <x:v>434</x:v>
      </x:c>
      <x:c r="L192" s="11" t="n">
        <x:v>7.5</x:v>
      </x:c>
      <x:c r="M192" s="11" t="n">
        <x:v>3024</x:v>
      </x:c>
      <x:c r="N192" s="11" t="n">
        <x:v>3049</x:v>
      </x:c>
      <x:c r="O192" s="11" t="n">
        <x:v>2884</x:v>
      </x:c>
      <x:c r="P192" s="11" t="n">
        <x:v>165</x:v>
      </x:c>
    </x:row>
    <x:row r="193">
      <x:c r="A193" s="11" t="n">
        <x:v>192</x:v>
      </x:c>
      <x:c r="B193" s="11" t="str">
        <x:v>2026-07-26</x:v>
      </x:c>
      <x:c r="C193" s="11" t="str">
        <x:v>L2</x:v>
      </x:c>
      <x:c r="D193" s="11" t="str">
        <x:v>Envasado B</x:v>
      </x:c>
      <x:c r="E193" s="11" t="str">
        <x:v>Vespertino</x:v>
      </x:c>
      <x:c r="F193" s="11" t="str">
        <x:v>P003</x:v>
      </x:c>
      <x:c r="G193" s="11" t="str">
        <x:v>Producto Gamma</x:v>
      </x:c>
      <x:c r="H193" s="11" t="n">
        <x:v>480</x:v>
      </x:c>
      <x:c r="I193" s="11" t="n">
        <x:v>16</x:v>
      </x:c>
      <x:c r="J193" s="11" t="n">
        <x:v>0</x:v>
      </x:c>
      <x:c r="K193" s="11" t="n">
        <x:v>464</x:v>
      </x:c>
      <x:c r="L193" s="11" t="n">
        <x:v>7.5</x:v>
      </x:c>
      <x:c r="M193" s="11" t="n">
        <x:v>3132</x:v>
      </x:c>
      <x:c r="N193" s="11" t="n">
        <x:v>3082</x:v>
      </x:c>
      <x:c r="O193" s="11" t="n">
        <x:v>2909</x:v>
      </x:c>
      <x:c r="P193" s="11" t="n">
        <x:v>173</x:v>
      </x:c>
    </x:row>
    <x:row r="194">
      <x:c r="A194" s="11" t="n">
        <x:v>193</x:v>
      </x:c>
      <x:c r="B194" s="11" t="str">
        <x:v>2026-07-27</x:v>
      </x:c>
      <x:c r="C194" s="11" t="str">
        <x:v>L1</x:v>
      </x:c>
      <x:c r="D194" s="11" t="str">
        <x:v>Envasado A</x:v>
      </x:c>
      <x:c r="E194" s="11" t="str">
        <x:v>Matutino</x:v>
      </x:c>
      <x:c r="F194" s="11" t="str">
        <x:v>P003</x:v>
      </x:c>
      <x:c r="G194" s="11" t="str">
        <x:v>Producto Gamma</x:v>
      </x:c>
      <x:c r="H194" s="11" t="n">
        <x:v>480</x:v>
      </x:c>
      <x:c r="I194" s="11" t="n">
        <x:v>24</x:v>
      </x:c>
      <x:c r="J194" s="11" t="n">
        <x:v>64</x:v>
      </x:c>
      <x:c r="K194" s="11" t="n">
        <x:v>392</x:v>
      </x:c>
      <x:c r="L194" s="11" t="n">
        <x:v>8</x:v>
      </x:c>
      <x:c r="M194" s="11" t="n">
        <x:v>3283</x:v>
      </x:c>
      <x:c r="N194" s="11" t="n">
        <x:v>2849</x:v>
      </x:c>
      <x:c r="O194" s="11" t="n">
        <x:v>2692</x:v>
      </x:c>
      <x:c r="P194" s="11" t="n">
        <x:v>157</x:v>
      </x:c>
    </x:row>
    <x:row r="195">
      <x:c r="A195" s="11" t="n">
        <x:v>194</x:v>
      </x:c>
      <x:c r="B195" s="11" t="str">
        <x:v>2026-07-27</x:v>
      </x:c>
      <x:c r="C195" s="11" t="str">
        <x:v>L1</x:v>
      </x:c>
      <x:c r="D195" s="11" t="str">
        <x:v>Envasado A</x:v>
      </x:c>
      <x:c r="E195" s="11" t="str">
        <x:v>Vespertino</x:v>
      </x:c>
      <x:c r="F195" s="11" t="str">
        <x:v>P003</x:v>
      </x:c>
      <x:c r="G195" s="11" t="str">
        <x:v>Producto Gamma</x:v>
      </x:c>
      <x:c r="H195" s="11" t="n">
        <x:v>480</x:v>
      </x:c>
      <x:c r="I195" s="11" t="n">
        <x:v>18</x:v>
      </x:c>
      <x:c r="J195" s="11" t="n">
        <x:v>32</x:v>
      </x:c>
      <x:c r="K195" s="11" t="n">
        <x:v>430</x:v>
      </x:c>
      <x:c r="L195" s="11" t="n">
        <x:v>8</x:v>
      </x:c>
      <x:c r="M195" s="11" t="n">
        <x:v>3326</x:v>
      </x:c>
      <x:c r="N195" s="11" t="n">
        <x:v>2906</x:v>
      </x:c>
      <x:c r="O195" s="11" t="n">
        <x:v>2779</x:v>
      </x:c>
      <x:c r="P195" s="11" t="n">
        <x:v>127</x:v>
      </x:c>
    </x:row>
    <x:row r="196">
      <x:c r="A196" s="11" t="n">
        <x:v>195</x:v>
      </x:c>
      <x:c r="B196" s="11" t="str">
        <x:v>2026-07-27</x:v>
      </x:c>
      <x:c r="C196" s="11" t="str">
        <x:v>L2</x:v>
      </x:c>
      <x:c r="D196" s="11" t="str">
        <x:v>Envasado B</x:v>
      </x:c>
      <x:c r="E196" s="11" t="str">
        <x:v>Matutino</x:v>
      </x:c>
      <x:c r="F196" s="11" t="str">
        <x:v>P001</x:v>
      </x:c>
      <x:c r="G196" s="11" t="str">
        <x:v>Producto Alfa</x:v>
      </x:c>
      <x:c r="H196" s="11" t="n">
        <x:v>480</x:v>
      </x:c>
      <x:c r="I196" s="11" t="n">
        <x:v>16</x:v>
      </x:c>
      <x:c r="J196" s="11" t="n">
        <x:v>24</x:v>
      </x:c>
      <x:c r="K196" s="11" t="n">
        <x:v>440</x:v>
      </x:c>
      <x:c r="L196" s="11" t="n">
        <x:v>7.5</x:v>
      </x:c>
      <x:c r="M196" s="11" t="n">
        <x:v>3132</x:v>
      </x:c>
      <x:c r="N196" s="11" t="n">
        <x:v>3048</x:v>
      </x:c>
      <x:c r="O196" s="11" t="n">
        <x:v>2901</x:v>
      </x:c>
      <x:c r="P196" s="11" t="n">
        <x:v>147</x:v>
      </x:c>
    </x:row>
    <x:row r="197">
      <x:c r="A197" s="11" t="n">
        <x:v>196</x:v>
      </x:c>
      <x:c r="B197" s="11" t="str">
        <x:v>2026-07-27</x:v>
      </x:c>
      <x:c r="C197" s="11" t="str">
        <x:v>L2</x:v>
      </x:c>
      <x:c r="D197" s="11" t="str">
        <x:v>Envasado B</x:v>
      </x:c>
      <x:c r="E197" s="11" t="str">
        <x:v>Vespertino</x:v>
      </x:c>
      <x:c r="F197" s="11" t="str">
        <x:v>P001</x:v>
      </x:c>
      <x:c r="G197" s="11" t="str">
        <x:v>Producto Alfa</x:v>
      </x:c>
      <x:c r="H197" s="11" t="n">
        <x:v>480</x:v>
      </x:c>
      <x:c r="I197" s="11" t="n">
        <x:v>31</x:v>
      </x:c>
      <x:c r="J197" s="11" t="n">
        <x:v>46</x:v>
      </x:c>
      <x:c r="K197" s="11" t="n">
        <x:v>403</x:v>
      </x:c>
      <x:c r="L197" s="11" t="n">
        <x:v>7.5</x:v>
      </x:c>
      <x:c r="M197" s="11" t="n">
        <x:v>3030</x:v>
      </x:c>
      <x:c r="N197" s="11" t="n">
        <x:v>2575</x:v>
      </x:c>
      <x:c r="O197" s="11" t="n">
        <x:v>2496</x:v>
      </x:c>
      <x:c r="P197" s="11" t="n">
        <x:v>79</x:v>
      </x:c>
    </x:row>
    <x:row r="198">
      <x:c r="A198" s="11" t="n">
        <x:v>197</x:v>
      </x:c>
      <x:c r="B198" s="11" t="str">
        <x:v>2026-07-27</x:v>
      </x:c>
      <x:c r="C198" s="11" t="str">
        <x:v>L3</x:v>
      </x:c>
      <x:c r="D198" s="11" t="str">
        <x:v>Empaque</x:v>
      </x:c>
      <x:c r="E198" s="11" t="str">
        <x:v>Matutino</x:v>
      </x:c>
      <x:c r="F198" s="11" t="str">
        <x:v>P001</x:v>
      </x:c>
      <x:c r="G198" s="11" t="str">
        <x:v>Producto Alfa</x:v>
      </x:c>
      <x:c r="H198" s="11" t="n">
        <x:v>480</x:v>
      </x:c>
      <x:c r="I198" s="11" t="n">
        <x:v>20</x:v>
      </x:c>
      <x:c r="J198" s="11" t="n">
        <x:v>41</x:v>
      </x:c>
      <x:c r="K198" s="11" t="n">
        <x:v>419</x:v>
      </x:c>
      <x:c r="L198" s="11" t="n">
        <x:v>8.67</x:v>
      </x:c>
      <x:c r="M198" s="11" t="n">
        <x:v>3588</x:v>
      </x:c>
      <x:c r="N198" s="11" t="n">
        <x:v>3504</x:v>
      </x:c>
      <x:c r="O198" s="11" t="n">
        <x:v>3316</x:v>
      </x:c>
      <x:c r="P198" s="11" t="n">
        <x:v>188</x:v>
      </x:c>
    </x:row>
    <x:row r="199">
      <x:c r="A199" s="11" t="n">
        <x:v>198</x:v>
      </x:c>
      <x:c r="B199" s="11" t="str">
        <x:v>2026-07-27</x:v>
      </x:c>
      <x:c r="C199" s="11" t="str">
        <x:v>L3</x:v>
      </x:c>
      <x:c r="D199" s="11" t="str">
        <x:v>Empaque</x:v>
      </x:c>
      <x:c r="E199" s="11" t="str">
        <x:v>Vespertino</x:v>
      </x:c>
      <x:c r="F199" s="11" t="str">
        <x:v>P002</x:v>
      </x:c>
      <x:c r="G199" s="11" t="str">
        <x:v>Producto Beta</x:v>
      </x:c>
      <x:c r="H199" s="11" t="n">
        <x:v>480</x:v>
      </x:c>
      <x:c r="I199" s="11" t="n">
        <x:v>33</x:v>
      </x:c>
      <x:c r="J199" s="11" t="n">
        <x:v>50</x:v>
      </x:c>
      <x:c r="K199" s="11" t="n">
        <x:v>397</x:v>
      </x:c>
      <x:c r="L199" s="11" t="n">
        <x:v>8.67</x:v>
      </x:c>
      <x:c r="M199" s="11" t="n">
        <x:v>3486</x:v>
      </x:c>
      <x:c r="N199" s="11" t="n">
        <x:v>3238</x:v>
      </x:c>
      <x:c r="O199" s="11" t="n">
        <x:v>3077</x:v>
      </x:c>
      <x:c r="P199" s="11" t="n">
        <x:v>161</x:v>
      </x:c>
    </x:row>
    <x:row r="200">
      <x:c r="A200" s="11" t="n">
        <x:v>199</x:v>
      </x:c>
      <x:c r="B200" s="11" t="str">
        <x:v>2026-07-27</x:v>
      </x:c>
      <x:c r="C200" s="11" t="str">
        <x:v>L4</x:v>
      </x:c>
      <x:c r="D200" s="11" t="str">
        <x:v>Etiquetado</x:v>
      </x:c>
      <x:c r="E200" s="11" t="str">
        <x:v>Matutino</x:v>
      </x:c>
      <x:c r="F200" s="11" t="str">
        <x:v>P002</x:v>
      </x:c>
      <x:c r="G200" s="11" t="str">
        <x:v>Producto Beta</x:v>
      </x:c>
      <x:c r="H200" s="11" t="n">
        <x:v>480</x:v>
      </x:c>
      <x:c r="I200" s="11" t="n">
        <x:v>29</x:v>
      </x:c>
      <x:c r="J200" s="11" t="n">
        <x:v>27</x:v>
      </x:c>
      <x:c r="K200" s="11" t="n">
        <x:v>424</x:v>
      </x:c>
      <x:c r="L200" s="11" t="n">
        <x:v>10</x:v>
      </x:c>
      <x:c r="M200" s="11" t="n">
        <x:v>4059</x:v>
      </x:c>
      <x:c r="N200" s="11" t="n">
        <x:v>3884</x:v>
      </x:c>
      <x:c r="O200" s="11" t="n">
        <x:v>3684</x:v>
      </x:c>
      <x:c r="P200" s="11" t="n">
        <x:v>200</x:v>
      </x:c>
    </x:row>
    <x:row r="201">
      <x:c r="A201" s="11" t="n">
        <x:v>200</x:v>
      </x:c>
      <x:c r="B201" s="11" t="str">
        <x:v>2026-07-27</x:v>
      </x:c>
      <x:c r="C201" s="11" t="str">
        <x:v>L4</x:v>
      </x:c>
      <x:c r="D201" s="11" t="str">
        <x:v>Etiquetado</x:v>
      </x:c>
      <x:c r="E201" s="11" t="str">
        <x:v>Vespertino</x:v>
      </x:c>
      <x:c r="F201" s="11" t="str">
        <x:v>P003</x:v>
      </x:c>
      <x:c r="G201" s="11" t="str">
        <x:v>Producto Gamma</x:v>
      </x:c>
      <x:c r="H201" s="11" t="n">
        <x:v>480</x:v>
      </x:c>
      <x:c r="I201" s="11" t="n">
        <x:v>32</x:v>
      </x:c>
      <x:c r="J201" s="11" t="n">
        <x:v>0</x:v>
      </x:c>
      <x:c r="K201" s="11" t="n">
        <x:v>448</x:v>
      </x:c>
      <x:c r="L201" s="11" t="n">
        <x:v>10</x:v>
      </x:c>
      <x:c r="M201" s="11" t="n">
        <x:v>4032</x:v>
      </x:c>
      <x:c r="N201" s="11" t="n">
        <x:v>4195</x:v>
      </x:c>
      <x:c r="O201" s="11" t="n">
        <x:v>4030</x:v>
      </x:c>
      <x:c r="P201" s="11" t="n">
        <x:v>165</x:v>
      </x:c>
    </x:row>
    <x:row r="202">
      <x:c r="A202" s="11" t="n">
        <x:v>201</x:v>
      </x:c>
      <x:c r="B202" s="11" t="str">
        <x:v>2026-07-28</x:v>
      </x:c>
      <x:c r="C202" s="11" t="str">
        <x:v>L1</x:v>
      </x:c>
      <x:c r="D202" s="11" t="str">
        <x:v>Envasado A</x:v>
      </x:c>
      <x:c r="E202" s="11" t="str">
        <x:v>Matutino</x:v>
      </x:c>
      <x:c r="F202" s="11" t="str">
        <x:v>P002</x:v>
      </x:c>
      <x:c r="G202" s="11" t="str">
        <x:v>Producto Beta</x:v>
      </x:c>
      <x:c r="H202" s="11" t="n">
        <x:v>480</x:v>
      </x:c>
      <x:c r="I202" s="11" t="n">
        <x:v>33</x:v>
      </x:c>
      <x:c r="J202" s="11" t="n">
        <x:v>10</x:v>
      </x:c>
      <x:c r="K202" s="11" t="n">
        <x:v>437</x:v>
      </x:c>
      <x:c r="L202" s="11" t="n">
        <x:v>8</x:v>
      </x:c>
      <x:c r="M202" s="11" t="n">
        <x:v>3218</x:v>
      </x:c>
      <x:c r="N202" s="11" t="n">
        <x:v>3564</x:v>
      </x:c>
      <x:c r="O202" s="11" t="n">
        <x:v>3332</x:v>
      </x:c>
      <x:c r="P202" s="11" t="n">
        <x:v>232</x:v>
      </x:c>
    </x:row>
    <x:row r="203">
      <x:c r="A203" s="11" t="n">
        <x:v>202</x:v>
      </x:c>
      <x:c r="B203" s="11" t="str">
        <x:v>2026-07-28</x:v>
      </x:c>
      <x:c r="C203" s="11" t="str">
        <x:v>L1</x:v>
      </x:c>
      <x:c r="D203" s="11" t="str">
        <x:v>Envasado A</x:v>
      </x:c>
      <x:c r="E203" s="11" t="str">
        <x:v>Vespertino</x:v>
      </x:c>
      <x:c r="F203" s="11" t="str">
        <x:v>P002</x:v>
      </x:c>
      <x:c r="G203" s="11" t="str">
        <x:v>Producto Beta</x:v>
      </x:c>
      <x:c r="H203" s="11" t="n">
        <x:v>480</x:v>
      </x:c>
      <x:c r="I203" s="11" t="n">
        <x:v>21</x:v>
      </x:c>
      <x:c r="J203" s="11" t="n">
        <x:v>5</x:v>
      </x:c>
      <x:c r="K203" s="11" t="n">
        <x:v>454</x:v>
      </x:c>
      <x:c r="L203" s="11" t="n">
        <x:v>8</x:v>
      </x:c>
      <x:c r="M203" s="11" t="n">
        <x:v>3304</x:v>
      </x:c>
      <x:c r="N203" s="11" t="n">
        <x:v>3625</x:v>
      </x:c>
      <x:c r="O203" s="11" t="n">
        <x:v>3407</x:v>
      </x:c>
      <x:c r="P203" s="11" t="n">
        <x:v>218</x:v>
      </x:c>
    </x:row>
    <x:row r="204">
      <x:c r="A204" s="11" t="n">
        <x:v>203</x:v>
      </x:c>
      <x:c r="B204" s="11" t="str">
        <x:v>2026-07-28</x:v>
      </x:c>
      <x:c r="C204" s="11" t="str">
        <x:v>L2</x:v>
      </x:c>
      <x:c r="D204" s="11" t="str">
        <x:v>Envasado B</x:v>
      </x:c>
      <x:c r="E204" s="11" t="str">
        <x:v>Matutino</x:v>
      </x:c>
      <x:c r="F204" s="11" t="str">
        <x:v>P001</x:v>
      </x:c>
      <x:c r="G204" s="11" t="str">
        <x:v>Producto Alfa</x:v>
      </x:c>
      <x:c r="H204" s="11" t="n">
        <x:v>480</x:v>
      </x:c>
      <x:c r="I204" s="11" t="n">
        <x:v>22</x:v>
      </x:c>
      <x:c r="J204" s="11" t="n">
        <x:v>12</x:v>
      </x:c>
      <x:c r="K204" s="11" t="n">
        <x:v>446</x:v>
      </x:c>
      <x:c r="L204" s="11" t="n">
        <x:v>7.5</x:v>
      </x:c>
      <x:c r="M204" s="11" t="n">
        <x:v>3091</x:v>
      </x:c>
      <x:c r="N204" s="11" t="n">
        <x:v>3140</x:v>
      </x:c>
      <x:c r="O204" s="11" t="n">
        <x:v>2997</x:v>
      </x:c>
      <x:c r="P204" s="11" t="n">
        <x:v>143</x:v>
      </x:c>
    </x:row>
    <x:row r="205">
      <x:c r="A205" s="11" t="n">
        <x:v>204</x:v>
      </x:c>
      <x:c r="B205" s="11" t="str">
        <x:v>2026-07-28</x:v>
      </x:c>
      <x:c r="C205" s="11" t="str">
        <x:v>L2</x:v>
      </x:c>
      <x:c r="D205" s="11" t="str">
        <x:v>Envasado B</x:v>
      </x:c>
      <x:c r="E205" s="11" t="str">
        <x:v>Vespertino</x:v>
      </x:c>
      <x:c r="F205" s="11" t="str">
        <x:v>P001</x:v>
      </x:c>
      <x:c r="G205" s="11" t="str">
        <x:v>Producto Alfa</x:v>
      </x:c>
      <x:c r="H205" s="11" t="n">
        <x:v>480</x:v>
      </x:c>
      <x:c r="I205" s="11" t="n">
        <x:v>27</x:v>
      </x:c>
      <x:c r="J205" s="11" t="n">
        <x:v>60</x:v>
      </x:c>
      <x:c r="K205" s="11" t="n">
        <x:v>393</x:v>
      </x:c>
      <x:c r="L205" s="11" t="n">
        <x:v>7.5</x:v>
      </x:c>
      <x:c r="M205" s="11" t="n">
        <x:v>3057</x:v>
      </x:c>
      <x:c r="N205" s="11" t="n">
        <x:v>2655</x:v>
      </x:c>
      <x:c r="O205" s="11" t="n">
        <x:v>2589</x:v>
      </x:c>
      <x:c r="P205" s="11" t="n">
        <x:v>66</x:v>
      </x:c>
    </x:row>
    <x:row r="206">
      <x:c r="A206" s="11" t="n">
        <x:v>205</x:v>
      </x:c>
      <x:c r="B206" s="11" t="str">
        <x:v>2026-07-28</x:v>
      </x:c>
      <x:c r="C206" s="11" t="str">
        <x:v>L3</x:v>
      </x:c>
      <x:c r="D206" s="11" t="str">
        <x:v>Empaque</x:v>
      </x:c>
      <x:c r="E206" s="11" t="str">
        <x:v>Matutino</x:v>
      </x:c>
      <x:c r="F206" s="11" t="str">
        <x:v>P003</x:v>
      </x:c>
      <x:c r="G206" s="11" t="str">
        <x:v>Producto Gamma</x:v>
      </x:c>
      <x:c r="H206" s="11" t="n">
        <x:v>480</x:v>
      </x:c>
      <x:c r="I206" s="11" t="n">
        <x:v>16</x:v>
      </x:c>
      <x:c r="J206" s="11" t="n">
        <x:v>58</x:v>
      </x:c>
      <x:c r="K206" s="11" t="n">
        <x:v>406</x:v>
      </x:c>
      <x:c r="L206" s="11" t="n">
        <x:v>8.67</x:v>
      </x:c>
      <x:c r="M206" s="11" t="n">
        <x:v>3619</x:v>
      </x:c>
      <x:c r="N206" s="11" t="n">
        <x:v>3062</x:v>
      </x:c>
      <x:c r="O206" s="11" t="n">
        <x:v>2948</x:v>
      </x:c>
      <x:c r="P206" s="11" t="n">
        <x:v>114</x:v>
      </x:c>
    </x:row>
    <x:row r="207">
      <x:c r="A207" s="11" t="n">
        <x:v>206</x:v>
      </x:c>
      <x:c r="B207" s="11" t="str">
        <x:v>2026-07-28</x:v>
      </x:c>
      <x:c r="C207" s="11" t="str">
        <x:v>L3</x:v>
      </x:c>
      <x:c r="D207" s="11" t="str">
        <x:v>Empaque</x:v>
      </x:c>
      <x:c r="E207" s="11" t="str">
        <x:v>Vespertino</x:v>
      </x:c>
      <x:c r="F207" s="11" t="str">
        <x:v>P001</x:v>
      </x:c>
      <x:c r="G207" s="11" t="str">
        <x:v>Producto Alfa</x:v>
      </x:c>
      <x:c r="H207" s="11" t="n">
        <x:v>480</x:v>
      </x:c>
      <x:c r="I207" s="11" t="n">
        <x:v>34</x:v>
      </x:c>
      <x:c r="J207" s="11" t="n">
        <x:v>0</x:v>
      </x:c>
      <x:c r="K207" s="11" t="n">
        <x:v>446</x:v>
      </x:c>
      <x:c r="L207" s="11" t="n">
        <x:v>8.67</x:v>
      </x:c>
      <x:c r="M207" s="11" t="n">
        <x:v>3478</x:v>
      </x:c>
      <x:c r="N207" s="11" t="n">
        <x:v>3556</x:v>
      </x:c>
      <x:c r="O207" s="11" t="n">
        <x:v>3385</x:v>
      </x:c>
      <x:c r="P207" s="11" t="n">
        <x:v>171</x:v>
      </x:c>
    </x:row>
    <x:row r="208">
      <x:c r="A208" s="11" t="n">
        <x:v>207</x:v>
      </x:c>
      <x:c r="B208" s="11" t="str">
        <x:v>2026-07-28</x:v>
      </x:c>
      <x:c r="C208" s="11" t="str">
        <x:v>L4</x:v>
      </x:c>
      <x:c r="D208" s="11" t="str">
        <x:v>Etiquetado</x:v>
      </x:c>
      <x:c r="E208" s="11" t="str">
        <x:v>Matutino</x:v>
      </x:c>
      <x:c r="F208" s="11" t="str">
        <x:v>P001</x:v>
      </x:c>
      <x:c r="G208" s="11" t="str">
        <x:v>Producto Alfa</x:v>
      </x:c>
      <x:c r="H208" s="11" t="n">
        <x:v>480</x:v>
      </x:c>
      <x:c r="I208" s="11" t="n">
        <x:v>34</x:v>
      </x:c>
      <x:c r="J208" s="11" t="n">
        <x:v>27</x:v>
      </x:c>
      <x:c r="K208" s="11" t="n">
        <x:v>419</x:v>
      </x:c>
      <x:c r="L208" s="11" t="n">
        <x:v>10</x:v>
      </x:c>
      <x:c r="M208" s="11" t="n">
        <x:v>4014</x:v>
      </x:c>
      <x:c r="N208" s="11" t="n">
        <x:v>4129</x:v>
      </x:c>
      <x:c r="O208" s="11" t="n">
        <x:v>3972</x:v>
      </x:c>
      <x:c r="P208" s="11" t="n">
        <x:v>157</x:v>
      </x:c>
    </x:row>
    <x:row r="209">
      <x:c r="A209" s="11" t="n">
        <x:v>208</x:v>
      </x:c>
      <x:c r="B209" s="11" t="str">
        <x:v>2026-07-28</x:v>
      </x:c>
      <x:c r="C209" s="11" t="str">
        <x:v>L4</x:v>
      </x:c>
      <x:c r="D209" s="11" t="str">
        <x:v>Etiquetado</x:v>
      </x:c>
      <x:c r="E209" s="11" t="str">
        <x:v>Vespertino</x:v>
      </x:c>
      <x:c r="F209" s="11" t="str">
        <x:v>P001</x:v>
      </x:c>
      <x:c r="G209" s="11" t="str">
        <x:v>Producto Alfa</x:v>
      </x:c>
      <x:c r="H209" s="11" t="n">
        <x:v>480</x:v>
      </x:c>
      <x:c r="I209" s="11" t="n">
        <x:v>35</x:v>
      </x:c>
      <x:c r="J209" s="11" t="n">
        <x:v>0</x:v>
      </x:c>
      <x:c r="K209" s="11" t="n">
        <x:v>445</x:v>
      </x:c>
      <x:c r="L209" s="11" t="n">
        <x:v>10</x:v>
      </x:c>
      <x:c r="M209" s="11" t="n">
        <x:v>4005</x:v>
      </x:c>
      <x:c r="N209" s="11" t="n">
        <x:v>4280</x:v>
      </x:c>
      <x:c r="O209" s="11" t="n">
        <x:v>4150</x:v>
      </x:c>
      <x:c r="P209" s="11" t="n">
        <x:v>130</x:v>
      </x:c>
    </x:row>
    <x:row r="210">
      <x:c r="A210" s="11" t="n">
        <x:v>209</x:v>
      </x:c>
      <x:c r="B210" s="11" t="str">
        <x:v>2026-07-29</x:v>
      </x:c>
      <x:c r="C210" s="11" t="str">
        <x:v>L1</x:v>
      </x:c>
      <x:c r="D210" s="11" t="str">
        <x:v>Envasado A</x:v>
      </x:c>
      <x:c r="E210" s="11" t="str">
        <x:v>Matutino</x:v>
      </x:c>
      <x:c r="F210" s="11" t="str">
        <x:v>P001</x:v>
      </x:c>
      <x:c r="G210" s="11" t="str">
        <x:v>Producto Alfa</x:v>
      </x:c>
      <x:c r="H210" s="11" t="n">
        <x:v>480</x:v>
      </x:c>
      <x:c r="I210" s="11" t="n">
        <x:v>24</x:v>
      </x:c>
      <x:c r="J210" s="11" t="n">
        <x:v>29</x:v>
      </x:c>
      <x:c r="K210" s="11" t="n">
        <x:v>427</x:v>
      </x:c>
      <x:c r="L210" s="11" t="n">
        <x:v>8</x:v>
      </x:c>
      <x:c r="M210" s="11" t="n">
        <x:v>3283</x:v>
      </x:c>
      <x:c r="N210" s="11" t="n">
        <x:v>3069</x:v>
      </x:c>
      <x:c r="O210" s="11" t="n">
        <x:v>2933</x:v>
      </x:c>
      <x:c r="P210" s="11" t="n">
        <x:v>136</x:v>
      </x:c>
    </x:row>
    <x:row r="211">
      <x:c r="A211" s="11" t="n">
        <x:v>210</x:v>
      </x:c>
      <x:c r="B211" s="11" t="str">
        <x:v>2026-07-29</x:v>
      </x:c>
      <x:c r="C211" s="11" t="str">
        <x:v>L1</x:v>
      </x:c>
      <x:c r="D211" s="11" t="str">
        <x:v>Envasado A</x:v>
      </x:c>
      <x:c r="E211" s="11" t="str">
        <x:v>Vespertino</x:v>
      </x:c>
      <x:c r="F211" s="11" t="str">
        <x:v>P002</x:v>
      </x:c>
      <x:c r="G211" s="11" t="str">
        <x:v>Producto Beta</x:v>
      </x:c>
      <x:c r="H211" s="11" t="n">
        <x:v>480</x:v>
      </x:c>
      <x:c r="I211" s="11" t="n">
        <x:v>25</x:v>
      </x:c>
      <x:c r="J211" s="11" t="n">
        <x:v>36</x:v>
      </x:c>
      <x:c r="K211" s="11" t="n">
        <x:v>419</x:v>
      </x:c>
      <x:c r="L211" s="11" t="n">
        <x:v>8</x:v>
      </x:c>
      <x:c r="M211" s="11" t="n">
        <x:v>3276</x:v>
      </x:c>
      <x:c r="N211" s="11" t="n">
        <x:v>3048</x:v>
      </x:c>
      <x:c r="O211" s="11" t="n">
        <x:v>2842</x:v>
      </x:c>
      <x:c r="P211" s="11" t="n">
        <x:v>206</x:v>
      </x:c>
    </x:row>
    <x:row r="212">
      <x:c r="A212" s="11" t="n">
        <x:v>211</x:v>
      </x:c>
      <x:c r="B212" s="11" t="str">
        <x:v>2026-07-29</x:v>
      </x:c>
      <x:c r="C212" s="11" t="str">
        <x:v>L2</x:v>
      </x:c>
      <x:c r="D212" s="11" t="str">
        <x:v>Envasado B</x:v>
      </x:c>
      <x:c r="E212" s="11" t="str">
        <x:v>Matutino</x:v>
      </x:c>
      <x:c r="F212" s="11" t="str">
        <x:v>P001</x:v>
      </x:c>
      <x:c r="G212" s="11" t="str">
        <x:v>Producto Alfa</x:v>
      </x:c>
      <x:c r="H212" s="11" t="n">
        <x:v>480</x:v>
      </x:c>
      <x:c r="I212" s="11" t="n">
        <x:v>32</x:v>
      </x:c>
      <x:c r="J212" s="11" t="n">
        <x:v>42</x:v>
      </x:c>
      <x:c r="K212" s="11" t="n">
        <x:v>406</x:v>
      </x:c>
      <x:c r="L212" s="11" t="n">
        <x:v>7.5</x:v>
      </x:c>
      <x:c r="M212" s="11" t="n">
        <x:v>3024</x:v>
      </x:c>
      <x:c r="N212" s="11" t="n">
        <x:v>2679</x:v>
      </x:c>
      <x:c r="O212" s="11" t="n">
        <x:v>2546</x:v>
      </x:c>
      <x:c r="P212" s="11" t="n">
        <x:v>133</x:v>
      </x:c>
    </x:row>
    <x:row r="213">
      <x:c r="A213" s="11" t="n">
        <x:v>212</x:v>
      </x:c>
      <x:c r="B213" s="11" t="str">
        <x:v>2026-07-29</x:v>
      </x:c>
      <x:c r="C213" s="11" t="str">
        <x:v>L2</x:v>
      </x:c>
      <x:c r="D213" s="11" t="str">
        <x:v>Envasado B</x:v>
      </x:c>
      <x:c r="E213" s="11" t="str">
        <x:v>Vespertino</x:v>
      </x:c>
      <x:c r="F213" s="11" t="str">
        <x:v>P001</x:v>
      </x:c>
      <x:c r="G213" s="11" t="str">
        <x:v>Producto Alfa</x:v>
      </x:c>
      <x:c r="H213" s="11" t="n">
        <x:v>480</x:v>
      </x:c>
      <x:c r="I213" s="11" t="n">
        <x:v>23</x:v>
      </x:c>
      <x:c r="J213" s="11" t="n">
        <x:v>27</x:v>
      </x:c>
      <x:c r="K213" s="11" t="n">
        <x:v>430</x:v>
      </x:c>
      <x:c r="L213" s="11" t="n">
        <x:v>7.5</x:v>
      </x:c>
      <x:c r="M213" s="11" t="n">
        <x:v>3084</x:v>
      </x:c>
      <x:c r="N213" s="11" t="n">
        <x:v>3233</x:v>
      </x:c>
      <x:c r="O213" s="11" t="n">
        <x:v>3055</x:v>
      </x:c>
      <x:c r="P213" s="11" t="n">
        <x:v>178</x:v>
      </x:c>
    </x:row>
    <x:row r="214">
      <x:c r="A214" s="11" t="n">
        <x:v>213</x:v>
      </x:c>
      <x:c r="B214" s="11" t="str">
        <x:v>2026-07-29</x:v>
      </x:c>
      <x:c r="C214" s="11" t="str">
        <x:v>L3</x:v>
      </x:c>
      <x:c r="D214" s="11" t="str">
        <x:v>Empaque</x:v>
      </x:c>
      <x:c r="E214" s="11" t="str">
        <x:v>Matutino</x:v>
      </x:c>
      <x:c r="F214" s="11" t="str">
        <x:v>P002</x:v>
      </x:c>
      <x:c r="G214" s="11" t="str">
        <x:v>Producto Beta</x:v>
      </x:c>
      <x:c r="H214" s="11" t="n">
        <x:v>480</x:v>
      </x:c>
      <x:c r="I214" s="11" t="n">
        <x:v>25</x:v>
      </x:c>
      <x:c r="J214" s="11" t="n">
        <x:v>36</x:v>
      </x:c>
      <x:c r="K214" s="11" t="n">
        <x:v>419</x:v>
      </x:c>
      <x:c r="L214" s="11" t="n">
        <x:v>8.67</x:v>
      </x:c>
      <x:c r="M214" s="11" t="n">
        <x:v>3549</x:v>
      </x:c>
      <x:c r="N214" s="11" t="n">
        <x:v>3131</x:v>
      </x:c>
      <x:c r="O214" s="11" t="n">
        <x:v>2999</x:v>
      </x:c>
      <x:c r="P214" s="11" t="n">
        <x:v>132</x:v>
      </x:c>
    </x:row>
    <x:row r="215">
      <x:c r="A215" s="11" t="n">
        <x:v>214</x:v>
      </x:c>
      <x:c r="B215" s="11" t="str">
        <x:v>2026-07-29</x:v>
      </x:c>
      <x:c r="C215" s="11" t="str">
        <x:v>L3</x:v>
      </x:c>
      <x:c r="D215" s="11" t="str">
        <x:v>Empaque</x:v>
      </x:c>
      <x:c r="E215" s="11" t="str">
        <x:v>Vespertino</x:v>
      </x:c>
      <x:c r="F215" s="11" t="str">
        <x:v>P001</x:v>
      </x:c>
      <x:c r="G215" s="11" t="str">
        <x:v>Producto Alfa</x:v>
      </x:c>
      <x:c r="H215" s="11" t="n">
        <x:v>480</x:v>
      </x:c>
      <x:c r="I215" s="11" t="n">
        <x:v>27</x:v>
      </x:c>
      <x:c r="J215" s="11" t="n">
        <x:v>44</x:v>
      </x:c>
      <x:c r="K215" s="11" t="n">
        <x:v>409</x:v>
      </x:c>
      <x:c r="L215" s="11" t="n">
        <x:v>8.67</x:v>
      </x:c>
      <x:c r="M215" s="11" t="n">
        <x:v>3533</x:v>
      </x:c>
      <x:c r="N215" s="11" t="n">
        <x:v>3507</x:v>
      </x:c>
      <x:c r="O215" s="11" t="n">
        <x:v>3351</x:v>
      </x:c>
      <x:c r="P215" s="11" t="n">
        <x:v>156</x:v>
      </x:c>
    </x:row>
    <x:row r="216">
      <x:c r="A216" s="11" t="n">
        <x:v>215</x:v>
      </x:c>
      <x:c r="B216" s="11" t="str">
        <x:v>2026-07-29</x:v>
      </x:c>
      <x:c r="C216" s="11" t="str">
        <x:v>L4</x:v>
      </x:c>
      <x:c r="D216" s="11" t="str">
        <x:v>Etiquetado</x:v>
      </x:c>
      <x:c r="E216" s="11" t="str">
        <x:v>Matutino</x:v>
      </x:c>
      <x:c r="F216" s="11" t="str">
        <x:v>P002</x:v>
      </x:c>
      <x:c r="G216" s="11" t="str">
        <x:v>Producto Beta</x:v>
      </x:c>
      <x:c r="H216" s="11" t="n">
        <x:v>480</x:v>
      </x:c>
      <x:c r="I216" s="11" t="n">
        <x:v>17</x:v>
      </x:c>
      <x:c r="J216" s="11" t="n">
        <x:v>28</x:v>
      </x:c>
      <x:c r="K216" s="11" t="n">
        <x:v>435</x:v>
      </x:c>
      <x:c r="L216" s="11" t="n">
        <x:v>10</x:v>
      </x:c>
      <x:c r="M216" s="11" t="n">
        <x:v>4167</x:v>
      </x:c>
      <x:c r="N216" s="11" t="n">
        <x:v>3926</x:v>
      </x:c>
      <x:c r="O216" s="11" t="n">
        <x:v>3639</x:v>
      </x:c>
      <x:c r="P216" s="11" t="n">
        <x:v>287</x:v>
      </x:c>
    </x:row>
    <x:row r="217">
      <x:c r="A217" s="11" t="n">
        <x:v>216</x:v>
      </x:c>
      <x:c r="B217" s="11" t="str">
        <x:v>2026-07-29</x:v>
      </x:c>
      <x:c r="C217" s="11" t="str">
        <x:v>L4</x:v>
      </x:c>
      <x:c r="D217" s="11" t="str">
        <x:v>Etiquetado</x:v>
      </x:c>
      <x:c r="E217" s="11" t="str">
        <x:v>Vespertino</x:v>
      </x:c>
      <x:c r="F217" s="11" t="str">
        <x:v>P003</x:v>
      </x:c>
      <x:c r="G217" s="11" t="str">
        <x:v>Producto Gamma</x:v>
      </x:c>
      <x:c r="H217" s="11" t="n">
        <x:v>480</x:v>
      </x:c>
      <x:c r="I217" s="11" t="n">
        <x:v>23</x:v>
      </x:c>
      <x:c r="J217" s="11" t="n">
        <x:v>22</x:v>
      </x:c>
      <x:c r="K217" s="11" t="n">
        <x:v>435</x:v>
      </x:c>
      <x:c r="L217" s="11" t="n">
        <x:v>10</x:v>
      </x:c>
      <x:c r="M217" s="11" t="n">
        <x:v>4113</x:v>
      </x:c>
      <x:c r="N217" s="11" t="n">
        <x:v>3644</x:v>
      </x:c>
      <x:c r="O217" s="11" t="n">
        <x:v>3420</x:v>
      </x:c>
      <x:c r="P217" s="11" t="n">
        <x:v>224</x:v>
      </x:c>
    </x:row>
    <x:row r="218">
      <x:c r="A218" s="11" t="n">
        <x:v>217</x:v>
      </x:c>
      <x:c r="B218" s="11" t="str">
        <x:v>2026-07-30</x:v>
      </x:c>
      <x:c r="C218" s="11" t="str">
        <x:v>L1</x:v>
      </x:c>
      <x:c r="D218" s="11" t="str">
        <x:v>Envasado A</x:v>
      </x:c>
      <x:c r="E218" s="11" t="str">
        <x:v>Matutino</x:v>
      </x:c>
      <x:c r="F218" s="11" t="str">
        <x:v>P002</x:v>
      </x:c>
      <x:c r="G218" s="11" t="str">
        <x:v>Producto Beta</x:v>
      </x:c>
      <x:c r="H218" s="11" t="n">
        <x:v>480</x:v>
      </x:c>
      <x:c r="I218" s="11" t="n">
        <x:v>18</x:v>
      </x:c>
      <x:c r="J218" s="11" t="n">
        <x:v>16</x:v>
      </x:c>
      <x:c r="K218" s="11" t="n">
        <x:v>446</x:v>
      </x:c>
      <x:c r="L218" s="11" t="n">
        <x:v>8</x:v>
      </x:c>
      <x:c r="M218" s="11" t="n">
        <x:v>3326</x:v>
      </x:c>
      <x:c r="N218" s="11" t="n">
        <x:v>3085</x:v>
      </x:c>
      <x:c r="O218" s="11" t="n">
        <x:v>2835</x:v>
      </x:c>
      <x:c r="P218" s="11" t="n">
        <x:v>250</x:v>
      </x:c>
    </x:row>
    <x:row r="219">
      <x:c r="A219" s="11" t="n">
        <x:v>218</x:v>
      </x:c>
      <x:c r="B219" s="11" t="str">
        <x:v>2026-07-30</x:v>
      </x:c>
      <x:c r="C219" s="11" t="str">
        <x:v>L1</x:v>
      </x:c>
      <x:c r="D219" s="11" t="str">
        <x:v>Envasado A</x:v>
      </x:c>
      <x:c r="E219" s="11" t="str">
        <x:v>Vespertino</x:v>
      </x:c>
      <x:c r="F219" s="11" t="str">
        <x:v>P002</x:v>
      </x:c>
      <x:c r="G219" s="11" t="str">
        <x:v>Producto Beta</x:v>
      </x:c>
      <x:c r="H219" s="11" t="n">
        <x:v>480</x:v>
      </x:c>
      <x:c r="I219" s="11" t="n">
        <x:v>34</x:v>
      </x:c>
      <x:c r="J219" s="11" t="n">
        <x:v>0</x:v>
      </x:c>
      <x:c r="K219" s="11" t="n">
        <x:v>446</x:v>
      </x:c>
      <x:c r="L219" s="11" t="n">
        <x:v>8</x:v>
      </x:c>
      <x:c r="M219" s="11" t="n">
        <x:v>3211</x:v>
      </x:c>
      <x:c r="N219" s="11" t="n">
        <x:v>3257</x:v>
      </x:c>
      <x:c r="O219" s="11" t="n">
        <x:v>3075</x:v>
      </x:c>
      <x:c r="P219" s="11" t="n">
        <x:v>182</x:v>
      </x:c>
    </x:row>
    <x:row r="220">
      <x:c r="A220" s="11" t="n">
        <x:v>219</x:v>
      </x:c>
      <x:c r="B220" s="11" t="str">
        <x:v>2026-07-30</x:v>
      </x:c>
      <x:c r="C220" s="11" t="str">
        <x:v>L2</x:v>
      </x:c>
      <x:c r="D220" s="11" t="str">
        <x:v>Envasado B</x:v>
      </x:c>
      <x:c r="E220" s="11" t="str">
        <x:v>Matutino</x:v>
      </x:c>
      <x:c r="F220" s="11" t="str">
        <x:v>P002</x:v>
      </x:c>
      <x:c r="G220" s="11" t="str">
        <x:v>Producto Beta</x:v>
      </x:c>
      <x:c r="H220" s="11" t="n">
        <x:v>480</x:v>
      </x:c>
      <x:c r="I220" s="11" t="n">
        <x:v>24</x:v>
      </x:c>
      <x:c r="J220" s="11" t="n">
        <x:v>21</x:v>
      </x:c>
      <x:c r="K220" s="11" t="n">
        <x:v>435</x:v>
      </x:c>
      <x:c r="L220" s="11" t="n">
        <x:v>7.5</x:v>
      </x:c>
      <x:c r="M220" s="11" t="n">
        <x:v>3078</x:v>
      </x:c>
      <x:c r="N220" s="11" t="n">
        <x:v>2909</x:v>
      </x:c>
      <x:c r="O220" s="11" t="n">
        <x:v>2743</x:v>
      </x:c>
      <x:c r="P220" s="11" t="n">
        <x:v>166</x:v>
      </x:c>
    </x:row>
    <x:row r="221">
      <x:c r="A221" s="11" t="n">
        <x:v>220</x:v>
      </x:c>
      <x:c r="B221" s="11" t="str">
        <x:v>2026-07-30</x:v>
      </x:c>
      <x:c r="C221" s="11" t="str">
        <x:v>L2</x:v>
      </x:c>
      <x:c r="D221" s="11" t="str">
        <x:v>Envasado B</x:v>
      </x:c>
      <x:c r="E221" s="11" t="str">
        <x:v>Vespertino</x:v>
      </x:c>
      <x:c r="F221" s="11" t="str">
        <x:v>P002</x:v>
      </x:c>
      <x:c r="G221" s="11" t="str">
        <x:v>Producto Beta</x:v>
      </x:c>
      <x:c r="H221" s="11" t="n">
        <x:v>480</x:v>
      </x:c>
      <x:c r="I221" s="11" t="n">
        <x:v>18</x:v>
      </x:c>
      <x:c r="J221" s="11" t="n">
        <x:v>29</x:v>
      </x:c>
      <x:c r="K221" s="11" t="n">
        <x:v>433</x:v>
      </x:c>
      <x:c r="L221" s="11" t="n">
        <x:v>7.5</x:v>
      </x:c>
      <x:c r="M221" s="11" t="n">
        <x:v>3118</x:v>
      </x:c>
      <x:c r="N221" s="11" t="n">
        <x:v>3205</x:v>
      </x:c>
      <x:c r="O221" s="11" t="n">
        <x:v>3058</x:v>
      </x:c>
      <x:c r="P221" s="11" t="n">
        <x:v>147</x:v>
      </x:c>
    </x:row>
    <x:row r="222">
      <x:c r="A222" s="11" t="n">
        <x:v>221</x:v>
      </x:c>
      <x:c r="B222" s="11" t="str">
        <x:v>2026-07-30</x:v>
      </x:c>
      <x:c r="C222" s="11" t="str">
        <x:v>L3</x:v>
      </x:c>
      <x:c r="D222" s="11" t="str">
        <x:v>Empaque</x:v>
      </x:c>
      <x:c r="E222" s="11" t="str">
        <x:v>Matutino</x:v>
      </x:c>
      <x:c r="F222" s="11" t="str">
        <x:v>P001</x:v>
      </x:c>
      <x:c r="G222" s="11" t="str">
        <x:v>Producto Alfa</x:v>
      </x:c>
      <x:c r="H222" s="11" t="n">
        <x:v>480</x:v>
      </x:c>
      <x:c r="I222" s="11" t="n">
        <x:v>27</x:v>
      </x:c>
      <x:c r="J222" s="11" t="n">
        <x:v>0</x:v>
      </x:c>
      <x:c r="K222" s="11" t="n">
        <x:v>453</x:v>
      </x:c>
      <x:c r="L222" s="11" t="n">
        <x:v>8.67</x:v>
      </x:c>
      <x:c r="M222" s="11" t="n">
        <x:v>3533</x:v>
      </x:c>
      <x:c r="N222" s="11" t="n">
        <x:v>3648</x:v>
      </x:c>
      <x:c r="O222" s="11" t="n">
        <x:v>3497</x:v>
      </x:c>
      <x:c r="P222" s="11" t="n">
        <x:v>151</x:v>
      </x:c>
    </x:row>
    <x:row r="223">
      <x:c r="A223" s="11" t="n">
        <x:v>222</x:v>
      </x:c>
      <x:c r="B223" s="11" t="str">
        <x:v>2026-07-30</x:v>
      </x:c>
      <x:c r="C223" s="11" t="str">
        <x:v>L3</x:v>
      </x:c>
      <x:c r="D223" s="11" t="str">
        <x:v>Empaque</x:v>
      </x:c>
      <x:c r="E223" s="11" t="str">
        <x:v>Vespertino</x:v>
      </x:c>
      <x:c r="F223" s="11" t="str">
        <x:v>P002</x:v>
      </x:c>
      <x:c r="G223" s="11" t="str">
        <x:v>Producto Beta</x:v>
      </x:c>
      <x:c r="H223" s="11" t="n">
        <x:v>480</x:v>
      </x:c>
      <x:c r="I223" s="11" t="n">
        <x:v>33</x:v>
      </x:c>
      <x:c r="J223" s="11" t="n">
        <x:v>0</x:v>
      </x:c>
      <x:c r="K223" s="11" t="n">
        <x:v>447</x:v>
      </x:c>
      <x:c r="L223" s="11" t="n">
        <x:v>8.67</x:v>
      </x:c>
      <x:c r="M223" s="11" t="n">
        <x:v>3486</x:v>
      </x:c>
      <x:c r="N223" s="11" t="n">
        <x:v>3520</x:v>
      </x:c>
      <x:c r="O223" s="11" t="n">
        <x:v>3284</x:v>
      </x:c>
      <x:c r="P223" s="11" t="n">
        <x:v>236</x:v>
      </x:c>
    </x:row>
    <x:row r="224">
      <x:c r="A224" s="11" t="n">
        <x:v>223</x:v>
      </x:c>
      <x:c r="B224" s="11" t="str">
        <x:v>2026-07-30</x:v>
      </x:c>
      <x:c r="C224" s="11" t="str">
        <x:v>L4</x:v>
      </x:c>
      <x:c r="D224" s="11" t="str">
        <x:v>Etiquetado</x:v>
      </x:c>
      <x:c r="E224" s="11" t="str">
        <x:v>Matutino</x:v>
      </x:c>
      <x:c r="F224" s="11" t="str">
        <x:v>P002</x:v>
      </x:c>
      <x:c r="G224" s="11" t="str">
        <x:v>Producto Beta</x:v>
      </x:c>
      <x:c r="H224" s="11" t="n">
        <x:v>480</x:v>
      </x:c>
      <x:c r="I224" s="11" t="n">
        <x:v>35</x:v>
      </x:c>
      <x:c r="J224" s="11" t="n">
        <x:v>48</x:v>
      </x:c>
      <x:c r="K224" s="11" t="n">
        <x:v>397</x:v>
      </x:c>
      <x:c r="L224" s="11" t="n">
        <x:v>10</x:v>
      </x:c>
      <x:c r="M224" s="11" t="n">
        <x:v>4005</x:v>
      </x:c>
      <x:c r="N224" s="11" t="n">
        <x:v>3733</x:v>
      </x:c>
      <x:c r="O224" s="11" t="n">
        <x:v>3416</x:v>
      </x:c>
      <x:c r="P224" s="11" t="n">
        <x:v>317</x:v>
      </x:c>
    </x:row>
    <x:row r="225">
      <x:c r="A225" s="11" t="n">
        <x:v>224</x:v>
      </x:c>
      <x:c r="B225" s="11" t="str">
        <x:v>2026-07-30</x:v>
      </x:c>
      <x:c r="C225" s="11" t="str">
        <x:v>L4</x:v>
      </x:c>
      <x:c r="D225" s="11" t="str">
        <x:v>Etiquetado</x:v>
      </x:c>
      <x:c r="E225" s="11" t="str">
        <x:v>Vespertino</x:v>
      </x:c>
      <x:c r="F225" s="11" t="str">
        <x:v>P001</x:v>
      </x:c>
      <x:c r="G225" s="11" t="str">
        <x:v>Producto Alfa</x:v>
      </x:c>
      <x:c r="H225" s="11" t="n">
        <x:v>480</x:v>
      </x:c>
      <x:c r="I225" s="11" t="n">
        <x:v>26</x:v>
      </x:c>
      <x:c r="J225" s="11" t="n">
        <x:v>57</x:v>
      </x:c>
      <x:c r="K225" s="11" t="n">
        <x:v>397</x:v>
      </x:c>
      <x:c r="L225" s="11" t="n">
        <x:v>10</x:v>
      </x:c>
      <x:c r="M225" s="11" t="n">
        <x:v>4086</x:v>
      </x:c>
      <x:c r="N225" s="11" t="n">
        <x:v>3652</x:v>
      </x:c>
      <x:c r="O225" s="11" t="n">
        <x:v>3552</x:v>
      </x:c>
      <x:c r="P225" s="11" t="n">
        <x:v>100</x:v>
      </x:c>
    </x:row>
    <x:row r="226">
      <x:c r="A226" s="11" t="n">
        <x:v>225</x:v>
      </x:c>
      <x:c r="B226" s="11" t="str">
        <x:v>2026-07-31</x:v>
      </x:c>
      <x:c r="C226" s="11" t="str">
        <x:v>L1</x:v>
      </x:c>
      <x:c r="D226" s="11" t="str">
        <x:v>Envasado A</x:v>
      </x:c>
      <x:c r="E226" s="11" t="str">
        <x:v>Matutino</x:v>
      </x:c>
      <x:c r="F226" s="11" t="str">
        <x:v>P001</x:v>
      </x:c>
      <x:c r="G226" s="11" t="str">
        <x:v>Producto Alfa</x:v>
      </x:c>
      <x:c r="H226" s="11" t="n">
        <x:v>480</x:v>
      </x:c>
      <x:c r="I226" s="11" t="n">
        <x:v>26</x:v>
      </x:c>
      <x:c r="J226" s="11" t="n">
        <x:v>55</x:v>
      </x:c>
      <x:c r="K226" s="11" t="n">
        <x:v>399</x:v>
      </x:c>
      <x:c r="L226" s="11" t="n">
        <x:v>8</x:v>
      </x:c>
      <x:c r="M226" s="11" t="n">
        <x:v>3268</x:v>
      </x:c>
      <x:c r="N226" s="11" t="n">
        <x:v>3032</x:v>
      </x:c>
      <x:c r="O226" s="11" t="n">
        <x:v>2814</x:v>
      </x:c>
      <x:c r="P226" s="11" t="n">
        <x:v>218</x:v>
      </x:c>
    </x:row>
    <x:row r="227">
      <x:c r="A227" s="11" t="n">
        <x:v>226</x:v>
      </x:c>
      <x:c r="B227" s="11" t="str">
        <x:v>2026-07-31</x:v>
      </x:c>
      <x:c r="C227" s="11" t="str">
        <x:v>L1</x:v>
      </x:c>
      <x:c r="D227" s="11" t="str">
        <x:v>Envasado A</x:v>
      </x:c>
      <x:c r="E227" s="11" t="str">
        <x:v>Vespertino</x:v>
      </x:c>
      <x:c r="F227" s="11" t="str">
        <x:v>P002</x:v>
      </x:c>
      <x:c r="G227" s="11" t="str">
        <x:v>Producto Beta</x:v>
      </x:c>
      <x:c r="H227" s="11" t="n">
        <x:v>480</x:v>
      </x:c>
      <x:c r="I227" s="11" t="n">
        <x:v>16</x:v>
      </x:c>
      <x:c r="J227" s="11" t="n">
        <x:v>11</x:v>
      </x:c>
      <x:c r="K227" s="11" t="n">
        <x:v>453</x:v>
      </x:c>
      <x:c r="L227" s="11" t="n">
        <x:v>8</x:v>
      </x:c>
      <x:c r="M227" s="11" t="n">
        <x:v>3340</x:v>
      </x:c>
      <x:c r="N227" s="11" t="n">
        <x:v>3212</x:v>
      </x:c>
      <x:c r="O227" s="11" t="n">
        <x:v>3034</x:v>
      </x:c>
      <x:c r="P227" s="11" t="n">
        <x:v>178</x:v>
      </x:c>
    </x:row>
    <x:row r="228">
      <x:c r="A228" s="11" t="n">
        <x:v>227</x:v>
      </x:c>
      <x:c r="B228" s="11" t="str">
        <x:v>2026-07-31</x:v>
      </x:c>
      <x:c r="C228" s="11" t="str">
        <x:v>L2</x:v>
      </x:c>
      <x:c r="D228" s="11" t="str">
        <x:v>Envasado B</x:v>
      </x:c>
      <x:c r="E228" s="11" t="str">
        <x:v>Matutino</x:v>
      </x:c>
      <x:c r="F228" s="11" t="str">
        <x:v>P001</x:v>
      </x:c>
      <x:c r="G228" s="11" t="str">
        <x:v>Producto Alfa</x:v>
      </x:c>
      <x:c r="H228" s="11" t="n">
        <x:v>480</x:v>
      </x:c>
      <x:c r="I228" s="11" t="n">
        <x:v>29</x:v>
      </x:c>
      <x:c r="J228" s="11" t="n">
        <x:v>40</x:v>
      </x:c>
      <x:c r="K228" s="11" t="n">
        <x:v>411</x:v>
      </x:c>
      <x:c r="L228" s="11" t="n">
        <x:v>7.5</x:v>
      </x:c>
      <x:c r="M228" s="11" t="n">
        <x:v>3044</x:v>
      </x:c>
      <x:c r="N228" s="11" t="n">
        <x:v>2857</x:v>
      </x:c>
      <x:c r="O228" s="11" t="n">
        <x:v>2684</x:v>
      </x:c>
      <x:c r="P228" s="11" t="n">
        <x:v>173</x:v>
      </x:c>
    </x:row>
    <x:row r="229">
      <x:c r="A229" s="11" t="n">
        <x:v>228</x:v>
      </x:c>
      <x:c r="B229" s="11" t="str">
        <x:v>2026-07-31</x:v>
      </x:c>
      <x:c r="C229" s="11" t="str">
        <x:v>L2</x:v>
      </x:c>
      <x:c r="D229" s="11" t="str">
        <x:v>Envasado B</x:v>
      </x:c>
      <x:c r="E229" s="11" t="str">
        <x:v>Vespertino</x:v>
      </x:c>
      <x:c r="F229" s="11" t="str">
        <x:v>P001</x:v>
      </x:c>
      <x:c r="G229" s="11" t="str">
        <x:v>Producto Alfa</x:v>
      </x:c>
      <x:c r="H229" s="11" t="n">
        <x:v>480</x:v>
      </x:c>
      <x:c r="I229" s="11" t="n">
        <x:v>25</x:v>
      </x:c>
      <x:c r="J229" s="11" t="n">
        <x:v>0</x:v>
      </x:c>
      <x:c r="K229" s="11" t="n">
        <x:v>455</x:v>
      </x:c>
      <x:c r="L229" s="11" t="n">
        <x:v>7.5</x:v>
      </x:c>
      <x:c r="M229" s="11" t="n">
        <x:v>3071</x:v>
      </x:c>
      <x:c r="N229" s="11" t="n">
        <x:v>3108</x:v>
      </x:c>
      <x:c r="O229" s="11" t="n">
        <x:v>3003</x:v>
      </x:c>
      <x:c r="P229" s="11" t="n">
        <x:v>105</x:v>
      </x:c>
    </x:row>
    <x:row r="230">
      <x:c r="A230" s="11" t="n">
        <x:v>229</x:v>
      </x:c>
      <x:c r="B230" s="11" t="str">
        <x:v>2026-07-31</x:v>
      </x:c>
      <x:c r="C230" s="11" t="str">
        <x:v>L3</x:v>
      </x:c>
      <x:c r="D230" s="11" t="str">
        <x:v>Empaque</x:v>
      </x:c>
      <x:c r="E230" s="11" t="str">
        <x:v>Matutino</x:v>
      </x:c>
      <x:c r="F230" s="11" t="str">
        <x:v>P003</x:v>
      </x:c>
      <x:c r="G230" s="11" t="str">
        <x:v>Producto Gamma</x:v>
      </x:c>
      <x:c r="H230" s="11" t="n">
        <x:v>480</x:v>
      </x:c>
      <x:c r="I230" s="11" t="n">
        <x:v>21</x:v>
      </x:c>
      <x:c r="J230" s="11" t="n">
        <x:v>62</x:v>
      </x:c>
      <x:c r="K230" s="11" t="n">
        <x:v>397</x:v>
      </x:c>
      <x:c r="L230" s="11" t="n">
        <x:v>8.67</x:v>
      </x:c>
      <x:c r="M230" s="11" t="n">
        <x:v>3580</x:v>
      </x:c>
      <x:c r="N230" s="11" t="n">
        <x:v>3241</x:v>
      </x:c>
      <x:c r="O230" s="11" t="n">
        <x:v>3086</x:v>
      </x:c>
      <x:c r="P230" s="11" t="n">
        <x:v>155</x:v>
      </x:c>
    </x:row>
    <x:row r="231">
      <x:c r="A231" s="11" t="n">
        <x:v>230</x:v>
      </x:c>
      <x:c r="B231" s="11" t="str">
        <x:v>2026-07-31</x:v>
      </x:c>
      <x:c r="C231" s="11" t="str">
        <x:v>L3</x:v>
      </x:c>
      <x:c r="D231" s="11" t="str">
        <x:v>Empaque</x:v>
      </x:c>
      <x:c r="E231" s="11" t="str">
        <x:v>Vespertino</x:v>
      </x:c>
      <x:c r="F231" s="11" t="str">
        <x:v>P001</x:v>
      </x:c>
      <x:c r="G231" s="11" t="str">
        <x:v>Producto Alfa</x:v>
      </x:c>
      <x:c r="H231" s="11" t="n">
        <x:v>480</x:v>
      </x:c>
      <x:c r="I231" s="11" t="n">
        <x:v>25</x:v>
      </x:c>
      <x:c r="J231" s="11" t="n">
        <x:v>42</x:v>
      </x:c>
      <x:c r="K231" s="11" t="n">
        <x:v>413</x:v>
      </x:c>
      <x:c r="L231" s="11" t="n">
        <x:v>8.67</x:v>
      </x:c>
      <x:c r="M231" s="11" t="n">
        <x:v>3549</x:v>
      </x:c>
      <x:c r="N231" s="11" t="n">
        <x:v>3300</x:v>
      </x:c>
      <x:c r="O231" s="11" t="n">
        <x:v>3098</x:v>
      </x:c>
      <x:c r="P231" s="11" t="n">
        <x:v>202</x:v>
      </x:c>
    </x:row>
    <x:row r="232">
      <x:c r="A232" s="11" t="n">
        <x:v>231</x:v>
      </x:c>
      <x:c r="B232" s="11" t="str">
        <x:v>2026-07-31</x:v>
      </x:c>
      <x:c r="C232" s="11" t="str">
        <x:v>L4</x:v>
      </x:c>
      <x:c r="D232" s="11" t="str">
        <x:v>Etiquetado</x:v>
      </x:c>
      <x:c r="E232" s="11" t="str">
        <x:v>Matutino</x:v>
      </x:c>
      <x:c r="F232" s="11" t="str">
        <x:v>P003</x:v>
      </x:c>
      <x:c r="G232" s="11" t="str">
        <x:v>Producto Gamma</x:v>
      </x:c>
      <x:c r="H232" s="11" t="n">
        <x:v>480</x:v>
      </x:c>
      <x:c r="I232" s="11" t="n">
        <x:v>15</x:v>
      </x:c>
      <x:c r="J232" s="11" t="n">
        <x:v>17</x:v>
      </x:c>
      <x:c r="K232" s="11" t="n">
        <x:v>448</x:v>
      </x:c>
      <x:c r="L232" s="11" t="n">
        <x:v>10</x:v>
      </x:c>
      <x:c r="M232" s="11" t="n">
        <x:v>4185</x:v>
      </x:c>
      <x:c r="N232" s="11" t="n">
        <x:v>4648</x:v>
      </x:c>
      <x:c r="O232" s="11" t="n">
        <x:v>4484</x:v>
      </x:c>
      <x:c r="P232" s="11" t="n">
        <x:v>164</x:v>
      </x:c>
    </x:row>
    <x:row r="233">
      <x:c r="A233" s="11" t="n">
        <x:v>232</x:v>
      </x:c>
      <x:c r="B233" s="11" t="str">
        <x:v>2026-07-31</x:v>
      </x:c>
      <x:c r="C233" s="11" t="str">
        <x:v>L4</x:v>
      </x:c>
      <x:c r="D233" s="11" t="str">
        <x:v>Etiquetado</x:v>
      </x:c>
      <x:c r="E233" s="11" t="str">
        <x:v>Vespertino</x:v>
      </x:c>
      <x:c r="F233" s="11" t="str">
        <x:v>P001</x:v>
      </x:c>
      <x:c r="G233" s="11" t="str">
        <x:v>Producto Alfa</x:v>
      </x:c>
      <x:c r="H233" s="11" t="n">
        <x:v>480</x:v>
      </x:c>
      <x:c r="I233" s="11" t="n">
        <x:v>18</x:v>
      </x:c>
      <x:c r="J233" s="11" t="n">
        <x:v>25</x:v>
      </x:c>
      <x:c r="K233" s="11" t="n">
        <x:v>437</x:v>
      </x:c>
      <x:c r="L233" s="11" t="n">
        <x:v>10</x:v>
      </x:c>
      <x:c r="M233" s="11" t="n">
        <x:v>4158</x:v>
      </x:c>
      <x:c r="N233" s="11" t="n">
        <x:v>3952</x:v>
      </x:c>
      <x:c r="O233" s="11" t="n">
        <x:v>3784</x:v>
      </x:c>
      <x:c r="P233" s="11" t="n">
        <x:v>168</x:v>
      </x:c>
    </x:row>
    <x:row r="234">
      <x:c r="A234" s="11" t="n">
        <x:v>233</x:v>
      </x:c>
      <x:c r="B234" s="11" t="str">
        <x:v>2026-08-01</x:v>
      </x:c>
      <x:c r="C234" s="11" t="str">
        <x:v>L1</x:v>
      </x:c>
      <x:c r="D234" s="11" t="str">
        <x:v>Envasado A</x:v>
      </x:c>
      <x:c r="E234" s="11" t="str">
        <x:v>Matutino</x:v>
      </x:c>
      <x:c r="F234" s="11" t="str">
        <x:v>P001</x:v>
      </x:c>
      <x:c r="G234" s="11" t="str">
        <x:v>Producto Alfa</x:v>
      </x:c>
      <x:c r="H234" s="11" t="n">
        <x:v>480</x:v>
      </x:c>
      <x:c r="I234" s="11" t="n">
        <x:v>26</x:v>
      </x:c>
      <x:c r="J234" s="11" t="n">
        <x:v>32</x:v>
      </x:c>
      <x:c r="K234" s="11" t="n">
        <x:v>422</x:v>
      </x:c>
      <x:c r="L234" s="11" t="n">
        <x:v>8</x:v>
      </x:c>
      <x:c r="M234" s="11" t="n">
        <x:v>3268</x:v>
      </x:c>
      <x:c r="N234" s="11" t="n">
        <x:v>2963</x:v>
      </x:c>
      <x:c r="O234" s="11" t="n">
        <x:v>2834</x:v>
      </x:c>
      <x:c r="P234" s="11" t="n">
        <x:v>129</x:v>
      </x:c>
    </x:row>
    <x:row r="235">
      <x:c r="A235" s="11" t="n">
        <x:v>234</x:v>
      </x:c>
      <x:c r="B235" s="11" t="str">
        <x:v>2026-08-01</x:v>
      </x:c>
      <x:c r="C235" s="11" t="str">
        <x:v>L1</x:v>
      </x:c>
      <x:c r="D235" s="11" t="str">
        <x:v>Envasado A</x:v>
      </x:c>
      <x:c r="E235" s="11" t="str">
        <x:v>Vespertino</x:v>
      </x:c>
      <x:c r="F235" s="11" t="str">
        <x:v>P001</x:v>
      </x:c>
      <x:c r="G235" s="11" t="str">
        <x:v>Producto Alfa</x:v>
      </x:c>
      <x:c r="H235" s="11" t="n">
        <x:v>480</x:v>
      </x:c>
      <x:c r="I235" s="11" t="n">
        <x:v>19</x:v>
      </x:c>
      <x:c r="J235" s="11" t="n">
        <x:v>40</x:v>
      </x:c>
      <x:c r="K235" s="11" t="n">
        <x:v>421</x:v>
      </x:c>
      <x:c r="L235" s="11" t="n">
        <x:v>8</x:v>
      </x:c>
      <x:c r="M235" s="11" t="n">
        <x:v>3319</x:v>
      </x:c>
      <x:c r="N235" s="11" t="n">
        <x:v>3055</x:v>
      </x:c>
      <x:c r="O235" s="11" t="n">
        <x:v>2888</x:v>
      </x:c>
      <x:c r="P235" s="11" t="n">
        <x:v>167</x:v>
      </x:c>
    </x:row>
    <x:row r="236">
      <x:c r="A236" s="11" t="n">
        <x:v>235</x:v>
      </x:c>
      <x:c r="B236" s="11" t="str">
        <x:v>2026-08-01</x:v>
      </x:c>
      <x:c r="C236" s="11" t="str">
        <x:v>L2</x:v>
      </x:c>
      <x:c r="D236" s="11" t="str">
        <x:v>Envasado B</x:v>
      </x:c>
      <x:c r="E236" s="11" t="str">
        <x:v>Matutino</x:v>
      </x:c>
      <x:c r="F236" s="11" t="str">
        <x:v>P003</x:v>
      </x:c>
      <x:c r="G236" s="11" t="str">
        <x:v>Producto Gamma</x:v>
      </x:c>
      <x:c r="H236" s="11" t="n">
        <x:v>480</x:v>
      </x:c>
      <x:c r="I236" s="11" t="n">
        <x:v>17</x:v>
      </x:c>
      <x:c r="J236" s="11" t="n">
        <x:v>0</x:v>
      </x:c>
      <x:c r="K236" s="11" t="n">
        <x:v>463</x:v>
      </x:c>
      <x:c r="L236" s="11" t="n">
        <x:v>7.5</x:v>
      </x:c>
      <x:c r="M236" s="11" t="n">
        <x:v>3125</x:v>
      </x:c>
      <x:c r="N236" s="11" t="n">
        <x:v>3200</x:v>
      </x:c>
      <x:c r="O236" s="11" t="n">
        <x:v>3021</x:v>
      </x:c>
      <x:c r="P236" s="11" t="n">
        <x:v>179</x:v>
      </x:c>
    </x:row>
    <x:row r="237">
      <x:c r="A237" s="11" t="n">
        <x:v>236</x:v>
      </x:c>
      <x:c r="B237" s="11" t="str">
        <x:v>2026-08-01</x:v>
      </x:c>
      <x:c r="C237" s="11" t="str">
        <x:v>L2</x:v>
      </x:c>
      <x:c r="D237" s="11" t="str">
        <x:v>Envasado B</x:v>
      </x:c>
      <x:c r="E237" s="11" t="str">
        <x:v>Vespertino</x:v>
      </x:c>
      <x:c r="F237" s="11" t="str">
        <x:v>P003</x:v>
      </x:c>
      <x:c r="G237" s="11" t="str">
        <x:v>Producto Gamma</x:v>
      </x:c>
      <x:c r="H237" s="11" t="n">
        <x:v>480</x:v>
      </x:c>
      <x:c r="I237" s="11" t="n">
        <x:v>22</x:v>
      </x:c>
      <x:c r="J237" s="11" t="n">
        <x:v>27</x:v>
      </x:c>
      <x:c r="K237" s="11" t="n">
        <x:v>431</x:v>
      </x:c>
      <x:c r="L237" s="11" t="n">
        <x:v>7.5</x:v>
      </x:c>
      <x:c r="M237" s="11" t="n">
        <x:v>3091</x:v>
      </x:c>
      <x:c r="N237" s="11" t="n">
        <x:v>2982</x:v>
      </x:c>
      <x:c r="O237" s="11" t="n">
        <x:v>2829</x:v>
      </x:c>
      <x:c r="P237" s="11" t="n">
        <x:v>153</x:v>
      </x:c>
    </x:row>
    <x:row r="238">
      <x:c r="A238" s="11" t="n">
        <x:v>237</x:v>
      </x:c>
      <x:c r="B238" s="11" t="str">
        <x:v>2026-08-01</x:v>
      </x:c>
      <x:c r="C238" s="11" t="str">
        <x:v>L3</x:v>
      </x:c>
      <x:c r="D238" s="11" t="str">
        <x:v>Empaque</x:v>
      </x:c>
      <x:c r="E238" s="11" t="str">
        <x:v>Matutino</x:v>
      </x:c>
      <x:c r="F238" s="11" t="str">
        <x:v>P003</x:v>
      </x:c>
      <x:c r="G238" s="11" t="str">
        <x:v>Producto Gamma</x:v>
      </x:c>
      <x:c r="H238" s="11" t="n">
        <x:v>480</x:v>
      </x:c>
      <x:c r="I238" s="11" t="n">
        <x:v>31</x:v>
      </x:c>
      <x:c r="J238" s="11" t="n">
        <x:v>17</x:v>
      </x:c>
      <x:c r="K238" s="11" t="n">
        <x:v>432</x:v>
      </x:c>
      <x:c r="L238" s="11" t="n">
        <x:v>8.67</x:v>
      </x:c>
      <x:c r="M238" s="11" t="n">
        <x:v>3502</x:v>
      </x:c>
      <x:c r="N238" s="11" t="n">
        <x:v>3636</x:v>
      </x:c>
      <x:c r="O238" s="11" t="n">
        <x:v>3609</x:v>
      </x:c>
      <x:c r="P238" s="11" t="n">
        <x:v>27</x:v>
      </x:c>
    </x:row>
    <x:row r="239">
      <x:c r="A239" s="11" t="n">
        <x:v>238</x:v>
      </x:c>
      <x:c r="B239" s="11" t="str">
        <x:v>2026-08-01</x:v>
      </x:c>
      <x:c r="C239" s="11" t="str">
        <x:v>L3</x:v>
      </x:c>
      <x:c r="D239" s="11" t="str">
        <x:v>Empaque</x:v>
      </x:c>
      <x:c r="E239" s="11" t="str">
        <x:v>Vespertino</x:v>
      </x:c>
      <x:c r="F239" s="11" t="str">
        <x:v>P002</x:v>
      </x:c>
      <x:c r="G239" s="11" t="str">
        <x:v>Producto Beta</x:v>
      </x:c>
      <x:c r="H239" s="11" t="n">
        <x:v>480</x:v>
      </x:c>
      <x:c r="I239" s="11" t="n">
        <x:v>28</x:v>
      </x:c>
      <x:c r="J239" s="11" t="n">
        <x:v>43</x:v>
      </x:c>
      <x:c r="K239" s="11" t="n">
        <x:v>409</x:v>
      </x:c>
      <x:c r="L239" s="11" t="n">
        <x:v>8.67</x:v>
      </x:c>
      <x:c r="M239" s="11" t="n">
        <x:v>3525</x:v>
      </x:c>
      <x:c r="N239" s="11" t="n">
        <x:v>3153</x:v>
      </x:c>
      <x:c r="O239" s="11" t="n">
        <x:v>2923</x:v>
      </x:c>
      <x:c r="P239" s="11" t="n">
        <x:v>230</x:v>
      </x:c>
    </x:row>
    <x:row r="240">
      <x:c r="A240" s="11" t="n">
        <x:v>239</x:v>
      </x:c>
      <x:c r="B240" s="11" t="str">
        <x:v>2026-08-01</x:v>
      </x:c>
      <x:c r="C240" s="11" t="str">
        <x:v>L4</x:v>
      </x:c>
      <x:c r="D240" s="11" t="str">
        <x:v>Etiquetado</x:v>
      </x:c>
      <x:c r="E240" s="11" t="str">
        <x:v>Matutino</x:v>
      </x:c>
      <x:c r="F240" s="11" t="str">
        <x:v>P002</x:v>
      </x:c>
      <x:c r="G240" s="11" t="str">
        <x:v>Producto Beta</x:v>
      </x:c>
      <x:c r="H240" s="11" t="n">
        <x:v>480</x:v>
      </x:c>
      <x:c r="I240" s="11" t="n">
        <x:v>17</x:v>
      </x:c>
      <x:c r="J240" s="11" t="n">
        <x:v>43</x:v>
      </x:c>
      <x:c r="K240" s="11" t="n">
        <x:v>420</x:v>
      </x:c>
      <x:c r="L240" s="11" t="n">
        <x:v>10</x:v>
      </x:c>
      <x:c r="M240" s="11" t="n">
        <x:v>4167</x:v>
      </x:c>
      <x:c r="N240" s="11" t="n">
        <x:v>3723</x:v>
      </x:c>
      <x:c r="O240" s="11" t="n">
        <x:v>3513</x:v>
      </x:c>
      <x:c r="P240" s="11" t="n">
        <x:v>210</x:v>
      </x:c>
    </x:row>
    <x:row r="241">
      <x:c r="A241" s="11" t="n">
        <x:v>240</x:v>
      </x:c>
      <x:c r="B241" s="11" t="str">
        <x:v>2026-08-01</x:v>
      </x:c>
      <x:c r="C241" s="11" t="str">
        <x:v>L4</x:v>
      </x:c>
      <x:c r="D241" s="11" t="str">
        <x:v>Etiquetado</x:v>
      </x:c>
      <x:c r="E241" s="11" t="str">
        <x:v>Vespertino</x:v>
      </x:c>
      <x:c r="F241" s="11" t="str">
        <x:v>P003</x:v>
      </x:c>
      <x:c r="G241" s="11" t="str">
        <x:v>Producto Gamma</x:v>
      </x:c>
      <x:c r="H241" s="11" t="n">
        <x:v>480</x:v>
      </x:c>
      <x:c r="I241" s="11" t="n">
        <x:v>35</x:v>
      </x:c>
      <x:c r="J241" s="11" t="n">
        <x:v>37</x:v>
      </x:c>
      <x:c r="K241" s="11" t="n">
        <x:v>408</x:v>
      </x:c>
      <x:c r="L241" s="11" t="n">
        <x:v>10</x:v>
      </x:c>
      <x:c r="M241" s="11" t="n">
        <x:v>4005</x:v>
      </x:c>
      <x:c r="N241" s="11" t="n">
        <x:v>3463</x:v>
      </x:c>
      <x:c r="O241" s="11" t="n">
        <x:v>3256</x:v>
      </x:c>
      <x:c r="P241" s="11" t="n">
        <x:v>207</x:v>
      </x:c>
    </x:row>
    <x:row r="242">
      <x:c r="A242" s="11" t="n">
        <x:v>241</x:v>
      </x:c>
      <x:c r="B242" s="11" t="str">
        <x:v>2026-08-02</x:v>
      </x:c>
      <x:c r="C242" s="11" t="str">
        <x:v>L1</x:v>
      </x:c>
      <x:c r="D242" s="11" t="str">
        <x:v>Envasado A</x:v>
      </x:c>
      <x:c r="E242" s="11" t="str">
        <x:v>Matutino</x:v>
      </x:c>
      <x:c r="F242" s="11" t="str">
        <x:v>P002</x:v>
      </x:c>
      <x:c r="G242" s="11" t="str">
        <x:v>Producto Beta</x:v>
      </x:c>
      <x:c r="H242" s="11" t="n">
        <x:v>480</x:v>
      </x:c>
      <x:c r="I242" s="11" t="n">
        <x:v>34</x:v>
      </x:c>
      <x:c r="J242" s="11" t="n">
        <x:v>4</x:v>
      </x:c>
      <x:c r="K242" s="11" t="n">
        <x:v>442</x:v>
      </x:c>
      <x:c r="L242" s="11" t="n">
        <x:v>8</x:v>
      </x:c>
      <x:c r="M242" s="11" t="n">
        <x:v>3211</x:v>
      </x:c>
      <x:c r="N242" s="11" t="n">
        <x:v>3184</x:v>
      </x:c>
      <x:c r="O242" s="11" t="n">
        <x:v>2979</x:v>
      </x:c>
      <x:c r="P242" s="11" t="n">
        <x:v>205</x:v>
      </x:c>
    </x:row>
    <x:row r="243">
      <x:c r="A243" s="11" t="n">
        <x:v>242</x:v>
      </x:c>
      <x:c r="B243" s="11" t="str">
        <x:v>2026-08-02</x:v>
      </x:c>
      <x:c r="C243" s="11" t="str">
        <x:v>L1</x:v>
      </x:c>
      <x:c r="D243" s="11" t="str">
        <x:v>Envasado A</x:v>
      </x:c>
      <x:c r="E243" s="11" t="str">
        <x:v>Vespertino</x:v>
      </x:c>
      <x:c r="F243" s="11" t="str">
        <x:v>P003</x:v>
      </x:c>
      <x:c r="G243" s="11" t="str">
        <x:v>Producto Gamma</x:v>
      </x:c>
      <x:c r="H243" s="11" t="n">
        <x:v>480</x:v>
      </x:c>
      <x:c r="I243" s="11" t="n">
        <x:v>18</x:v>
      </x:c>
      <x:c r="J243" s="11" t="n">
        <x:v>21</x:v>
      </x:c>
      <x:c r="K243" s="11" t="n">
        <x:v>441</x:v>
      </x:c>
      <x:c r="L243" s="11" t="n">
        <x:v>8</x:v>
      </x:c>
      <x:c r="M243" s="11" t="n">
        <x:v>3326</x:v>
      </x:c>
      <x:c r="N243" s="11" t="n">
        <x:v>3349</x:v>
      </x:c>
      <x:c r="O243" s="11" t="n">
        <x:v>3134</x:v>
      </x:c>
      <x:c r="P243" s="11" t="n">
        <x:v>215</x:v>
      </x:c>
    </x:row>
    <x:row r="244">
      <x:c r="A244" s="11" t="n">
        <x:v>243</x:v>
      </x:c>
      <x:c r="B244" s="11" t="str">
        <x:v>2026-08-02</x:v>
      </x:c>
      <x:c r="C244" s="11" t="str">
        <x:v>L2</x:v>
      </x:c>
      <x:c r="D244" s="11" t="str">
        <x:v>Envasado B</x:v>
      </x:c>
      <x:c r="E244" s="11" t="str">
        <x:v>Matutino</x:v>
      </x:c>
      <x:c r="F244" s="11" t="str">
        <x:v>P003</x:v>
      </x:c>
      <x:c r="G244" s="11" t="str">
        <x:v>Producto Gamma</x:v>
      </x:c>
      <x:c r="H244" s="11" t="n">
        <x:v>480</x:v>
      </x:c>
      <x:c r="I244" s="11" t="n">
        <x:v>21</x:v>
      </x:c>
      <x:c r="J244" s="11" t="n">
        <x:v>0</x:v>
      </x:c>
      <x:c r="K244" s="11" t="n">
        <x:v>459</x:v>
      </x:c>
      <x:c r="L244" s="11" t="n">
        <x:v>7.5</x:v>
      </x:c>
      <x:c r="M244" s="11" t="n">
        <x:v>3098</x:v>
      </x:c>
      <x:c r="N244" s="11" t="n">
        <x:v>3270</x:v>
      </x:c>
      <x:c r="O244" s="11" t="n">
        <x:v>3043</x:v>
      </x:c>
      <x:c r="P244" s="11" t="n">
        <x:v>227</x:v>
      </x:c>
    </x:row>
    <x:row r="245">
      <x:c r="A245" s="11" t="n">
        <x:v>244</x:v>
      </x:c>
      <x:c r="B245" s="11" t="str">
        <x:v>2026-08-02</x:v>
      </x:c>
      <x:c r="C245" s="11" t="str">
        <x:v>L2</x:v>
      </x:c>
      <x:c r="D245" s="11" t="str">
        <x:v>Envasado B</x:v>
      </x:c>
      <x:c r="E245" s="11" t="str">
        <x:v>Vespertino</x:v>
      </x:c>
      <x:c r="F245" s="11" t="str">
        <x:v>P002</x:v>
      </x:c>
      <x:c r="G245" s="11" t="str">
        <x:v>Producto Beta</x:v>
      </x:c>
      <x:c r="H245" s="11" t="n">
        <x:v>480</x:v>
      </x:c>
      <x:c r="I245" s="11" t="n">
        <x:v>28</x:v>
      </x:c>
      <x:c r="J245" s="11" t="n">
        <x:v>49</x:v>
      </x:c>
      <x:c r="K245" s="11" t="n">
        <x:v>403</x:v>
      </x:c>
      <x:c r="L245" s="11" t="n">
        <x:v>7.5</x:v>
      </x:c>
      <x:c r="M245" s="11" t="n">
        <x:v>3051</x:v>
      </x:c>
      <x:c r="N245" s="11" t="n">
        <x:v>2735</x:v>
      </x:c>
      <x:c r="O245" s="11" t="n">
        <x:v>2542</x:v>
      </x:c>
      <x:c r="P245" s="11" t="n">
        <x:v>193</x:v>
      </x:c>
    </x:row>
    <x:row r="246">
      <x:c r="A246" s="11" t="n">
        <x:v>245</x:v>
      </x:c>
      <x:c r="B246" s="11" t="str">
        <x:v>2026-08-03</x:v>
      </x:c>
      <x:c r="C246" s="11" t="str">
        <x:v>L1</x:v>
      </x:c>
      <x:c r="D246" s="11" t="str">
        <x:v>Envasado A</x:v>
      </x:c>
      <x:c r="E246" s="11" t="str">
        <x:v>Matutino</x:v>
      </x:c>
      <x:c r="F246" s="11" t="str">
        <x:v>P002</x:v>
      </x:c>
      <x:c r="G246" s="11" t="str">
        <x:v>Producto Beta</x:v>
      </x:c>
      <x:c r="H246" s="11" t="n">
        <x:v>480</x:v>
      </x:c>
      <x:c r="I246" s="11" t="n">
        <x:v>23</x:v>
      </x:c>
      <x:c r="J246" s="11" t="n">
        <x:v>19</x:v>
      </x:c>
      <x:c r="K246" s="11" t="n">
        <x:v>438</x:v>
      </x:c>
      <x:c r="L246" s="11" t="n">
        <x:v>8</x:v>
      </x:c>
      <x:c r="M246" s="11" t="n">
        <x:v>3290</x:v>
      </x:c>
      <x:c r="N246" s="11" t="n">
        <x:v>3253</x:v>
      </x:c>
      <x:c r="O246" s="11" t="n">
        <x:v>3070</x:v>
      </x:c>
      <x:c r="P246" s="11" t="n">
        <x:v>183</x:v>
      </x:c>
    </x:row>
    <x:row r="247">
      <x:c r="A247" s="11" t="n">
        <x:v>246</x:v>
      </x:c>
      <x:c r="B247" s="11" t="str">
        <x:v>2026-08-03</x:v>
      </x:c>
      <x:c r="C247" s="11" t="str">
        <x:v>L1</x:v>
      </x:c>
      <x:c r="D247" s="11" t="str">
        <x:v>Envasado A</x:v>
      </x:c>
      <x:c r="E247" s="11" t="str">
        <x:v>Vespertino</x:v>
      </x:c>
      <x:c r="F247" s="11" t="str">
        <x:v>P001</x:v>
      </x:c>
      <x:c r="G247" s="11" t="str">
        <x:v>Producto Alfa</x:v>
      </x:c>
      <x:c r="H247" s="11" t="n">
        <x:v>480</x:v>
      </x:c>
      <x:c r="I247" s="11" t="n">
        <x:v>17</x:v>
      </x:c>
      <x:c r="J247" s="11" t="n">
        <x:v>24</x:v>
      </x:c>
      <x:c r="K247" s="11" t="n">
        <x:v>439</x:v>
      </x:c>
      <x:c r="L247" s="11" t="n">
        <x:v>8</x:v>
      </x:c>
      <x:c r="M247" s="11" t="n">
        <x:v>3333</x:v>
      </x:c>
      <x:c r="N247" s="11" t="n">
        <x:v>2958</x:v>
      </x:c>
      <x:c r="O247" s="11" t="n">
        <x:v>2864</x:v>
      </x:c>
      <x:c r="P247" s="11" t="n">
        <x:v>94</x:v>
      </x:c>
    </x:row>
    <x:row r="248">
      <x:c r="A248" s="11" t="n">
        <x:v>247</x:v>
      </x:c>
      <x:c r="B248" s="11" t="str">
        <x:v>2026-08-03</x:v>
      </x:c>
      <x:c r="C248" s="11" t="str">
        <x:v>L2</x:v>
      </x:c>
      <x:c r="D248" s="11" t="str">
        <x:v>Envasado B</x:v>
      </x:c>
      <x:c r="E248" s="11" t="str">
        <x:v>Matutino</x:v>
      </x:c>
      <x:c r="F248" s="11" t="str">
        <x:v>P002</x:v>
      </x:c>
      <x:c r="G248" s="11" t="str">
        <x:v>Producto Beta</x:v>
      </x:c>
      <x:c r="H248" s="11" t="n">
        <x:v>480</x:v>
      </x:c>
      <x:c r="I248" s="11" t="n">
        <x:v>19</x:v>
      </x:c>
      <x:c r="J248" s="11" t="n">
        <x:v>0</x:v>
      </x:c>
      <x:c r="K248" s="11" t="n">
        <x:v>461</x:v>
      </x:c>
      <x:c r="L248" s="11" t="n">
        <x:v>7.5</x:v>
      </x:c>
      <x:c r="M248" s="11" t="n">
        <x:v>3111</x:v>
      </x:c>
      <x:c r="N248" s="11" t="n">
        <x:v>3074</x:v>
      </x:c>
      <x:c r="O248" s="11" t="n">
        <x:v>2859</x:v>
      </x:c>
      <x:c r="P248" s="11" t="n">
        <x:v>215</x:v>
      </x:c>
    </x:row>
    <x:row r="249">
      <x:c r="A249" s="11" t="n">
        <x:v>248</x:v>
      </x:c>
      <x:c r="B249" s="11" t="str">
        <x:v>2026-08-03</x:v>
      </x:c>
      <x:c r="C249" s="11" t="str">
        <x:v>L2</x:v>
      </x:c>
      <x:c r="D249" s="11" t="str">
        <x:v>Envasado B</x:v>
      </x:c>
      <x:c r="E249" s="11" t="str">
        <x:v>Vespertino</x:v>
      </x:c>
      <x:c r="F249" s="11" t="str">
        <x:v>P001</x:v>
      </x:c>
      <x:c r="G249" s="11" t="str">
        <x:v>Producto Alfa</x:v>
      </x:c>
      <x:c r="H249" s="11" t="n">
        <x:v>480</x:v>
      </x:c>
      <x:c r="I249" s="11" t="n">
        <x:v>28</x:v>
      </x:c>
      <x:c r="J249" s="11" t="n">
        <x:v>20</x:v>
      </x:c>
      <x:c r="K249" s="11" t="n">
        <x:v>432</x:v>
      </x:c>
      <x:c r="L249" s="11" t="n">
        <x:v>7.5</x:v>
      </x:c>
      <x:c r="M249" s="11" t="n">
        <x:v>3051</x:v>
      </x:c>
      <x:c r="N249" s="11" t="n">
        <x:v>2817</x:v>
      </x:c>
      <x:c r="O249" s="11" t="n">
        <x:v>2744</x:v>
      </x:c>
      <x:c r="P249" s="11" t="n">
        <x:v>73</x:v>
      </x:c>
    </x:row>
    <x:row r="250">
      <x:c r="A250" s="11" t="n">
        <x:v>249</x:v>
      </x:c>
      <x:c r="B250" s="11" t="str">
        <x:v>2026-08-03</x:v>
      </x:c>
      <x:c r="C250" s="11" t="str">
        <x:v>L3</x:v>
      </x:c>
      <x:c r="D250" s="11" t="str">
        <x:v>Empaque</x:v>
      </x:c>
      <x:c r="E250" s="11" t="str">
        <x:v>Matutino</x:v>
      </x:c>
      <x:c r="F250" s="11" t="str">
        <x:v>P002</x:v>
      </x:c>
      <x:c r="G250" s="11" t="str">
        <x:v>Producto Beta</x:v>
      </x:c>
      <x:c r="H250" s="11" t="n">
        <x:v>480</x:v>
      </x:c>
      <x:c r="I250" s="11" t="n">
        <x:v>16</x:v>
      </x:c>
      <x:c r="J250" s="11" t="n">
        <x:v>57</x:v>
      </x:c>
      <x:c r="K250" s="11" t="n">
        <x:v>407</x:v>
      </x:c>
      <x:c r="L250" s="11" t="n">
        <x:v>8.67</x:v>
      </x:c>
      <x:c r="M250" s="11" t="n">
        <x:v>3619</x:v>
      </x:c>
      <x:c r="N250" s="11" t="n">
        <x:v>3167</x:v>
      </x:c>
      <x:c r="O250" s="11" t="n">
        <x:v>2947</x:v>
      </x:c>
      <x:c r="P250" s="11" t="n">
        <x:v>220</x:v>
      </x:c>
    </x:row>
    <x:row r="251">
      <x:c r="A251" s="11" t="n">
        <x:v>250</x:v>
      </x:c>
      <x:c r="B251" s="11" t="str">
        <x:v>2026-08-03</x:v>
      </x:c>
      <x:c r="C251" s="11" t="str">
        <x:v>L3</x:v>
      </x:c>
      <x:c r="D251" s="11" t="str">
        <x:v>Empaque</x:v>
      </x:c>
      <x:c r="E251" s="11" t="str">
        <x:v>Vespertino</x:v>
      </x:c>
      <x:c r="F251" s="11" t="str">
        <x:v>P001</x:v>
      </x:c>
      <x:c r="G251" s="11" t="str">
        <x:v>Producto Alfa</x:v>
      </x:c>
      <x:c r="H251" s="11" t="n">
        <x:v>480</x:v>
      </x:c>
      <x:c r="I251" s="11" t="n">
        <x:v>19</x:v>
      </x:c>
      <x:c r="J251" s="11" t="n">
        <x:v>51</x:v>
      </x:c>
      <x:c r="K251" s="11" t="n">
        <x:v>410</x:v>
      </x:c>
      <x:c r="L251" s="11" t="n">
        <x:v>8.67</x:v>
      </x:c>
      <x:c r="M251" s="11" t="n">
        <x:v>3595</x:v>
      </x:c>
      <x:c r="N251" s="11" t="n">
        <x:v>3170</x:v>
      </x:c>
      <x:c r="O251" s="11" t="n">
        <x:v>3020</x:v>
      </x:c>
      <x:c r="P251" s="11" t="n">
        <x:v>150</x:v>
      </x:c>
    </x:row>
    <x:row r="252">
      <x:c r="A252" s="11" t="n">
        <x:v>251</x:v>
      </x:c>
      <x:c r="B252" s="11" t="str">
        <x:v>2026-08-03</x:v>
      </x:c>
      <x:c r="C252" s="11" t="str">
        <x:v>L4</x:v>
      </x:c>
      <x:c r="D252" s="11" t="str">
        <x:v>Etiquetado</x:v>
      </x:c>
      <x:c r="E252" s="11" t="str">
        <x:v>Matutino</x:v>
      </x:c>
      <x:c r="F252" s="11" t="str">
        <x:v>P001</x:v>
      </x:c>
      <x:c r="G252" s="11" t="str">
        <x:v>Producto Alfa</x:v>
      </x:c>
      <x:c r="H252" s="11" t="n">
        <x:v>480</x:v>
      </x:c>
      <x:c r="I252" s="11" t="n">
        <x:v>26</x:v>
      </x:c>
      <x:c r="J252" s="11" t="n">
        <x:v>39</x:v>
      </x:c>
      <x:c r="K252" s="11" t="n">
        <x:v>415</x:v>
      </x:c>
      <x:c r="L252" s="11" t="n">
        <x:v>10</x:v>
      </x:c>
      <x:c r="M252" s="11" t="n">
        <x:v>4086</x:v>
      </x:c>
      <x:c r="N252" s="11" t="n">
        <x:v>3628</x:v>
      </x:c>
      <x:c r="O252" s="11" t="n">
        <x:v>3487</x:v>
      </x:c>
      <x:c r="P252" s="11" t="n">
        <x:v>141</x:v>
      </x:c>
    </x:row>
    <x:row r="253">
      <x:c r="A253" s="11" t="n">
        <x:v>252</x:v>
      </x:c>
      <x:c r="B253" s="11" t="str">
        <x:v>2026-08-03</x:v>
      </x:c>
      <x:c r="C253" s="11" t="str">
        <x:v>L4</x:v>
      </x:c>
      <x:c r="D253" s="11" t="str">
        <x:v>Etiquetado</x:v>
      </x:c>
      <x:c r="E253" s="11" t="str">
        <x:v>Vespertino</x:v>
      </x:c>
      <x:c r="F253" s="11" t="str">
        <x:v>P002</x:v>
      </x:c>
      <x:c r="G253" s="11" t="str">
        <x:v>Producto Beta</x:v>
      </x:c>
      <x:c r="H253" s="11" t="n">
        <x:v>480</x:v>
      </x:c>
      <x:c r="I253" s="11" t="n">
        <x:v>32</x:v>
      </x:c>
      <x:c r="J253" s="11" t="n">
        <x:v>0</x:v>
      </x:c>
      <x:c r="K253" s="11" t="n">
        <x:v>448</x:v>
      </x:c>
      <x:c r="L253" s="11" t="n">
        <x:v>10</x:v>
      </x:c>
      <x:c r="M253" s="11" t="n">
        <x:v>4032</x:v>
      </x:c>
      <x:c r="N253" s="11" t="n">
        <x:v>4444</x:v>
      </x:c>
      <x:c r="O253" s="11" t="n">
        <x:v>4161</x:v>
      </x:c>
      <x:c r="P253" s="11" t="n">
        <x:v>283</x:v>
      </x:c>
    </x:row>
    <x:row r="254">
      <x:c r="A254" s="11" t="n">
        <x:v>253</x:v>
      </x:c>
      <x:c r="B254" s="11" t="str">
        <x:v>2026-08-04</x:v>
      </x:c>
      <x:c r="C254" s="11" t="str">
        <x:v>L1</x:v>
      </x:c>
      <x:c r="D254" s="11" t="str">
        <x:v>Envasado A</x:v>
      </x:c>
      <x:c r="E254" s="11" t="str">
        <x:v>Matutino</x:v>
      </x:c>
      <x:c r="F254" s="11" t="str">
        <x:v>P003</x:v>
      </x:c>
      <x:c r="G254" s="11" t="str">
        <x:v>Producto Gamma</x:v>
      </x:c>
      <x:c r="H254" s="11" t="n">
        <x:v>480</x:v>
      </x:c>
      <x:c r="I254" s="11" t="n">
        <x:v>35</x:v>
      </x:c>
      <x:c r="J254" s="11" t="n">
        <x:v>0</x:v>
      </x:c>
      <x:c r="K254" s="11" t="n">
        <x:v>445</x:v>
      </x:c>
      <x:c r="L254" s="11" t="n">
        <x:v>8</x:v>
      </x:c>
      <x:c r="M254" s="11" t="n">
        <x:v>3204</x:v>
      </x:c>
      <x:c r="N254" s="11" t="n">
        <x:v>3162</x:v>
      </x:c>
      <x:c r="O254" s="11" t="n">
        <x:v>2971</x:v>
      </x:c>
      <x:c r="P254" s="11" t="n">
        <x:v>191</x:v>
      </x:c>
    </x:row>
    <x:row r="255">
      <x:c r="A255" s="11" t="n">
        <x:v>254</x:v>
      </x:c>
      <x:c r="B255" s="11" t="str">
        <x:v>2026-08-04</x:v>
      </x:c>
      <x:c r="C255" s="11" t="str">
        <x:v>L1</x:v>
      </x:c>
      <x:c r="D255" s="11" t="str">
        <x:v>Envasado A</x:v>
      </x:c>
      <x:c r="E255" s="11" t="str">
        <x:v>Vespertino</x:v>
      </x:c>
      <x:c r="F255" s="11" t="str">
        <x:v>P001</x:v>
      </x:c>
      <x:c r="G255" s="11" t="str">
        <x:v>Producto Alfa</x:v>
      </x:c>
      <x:c r="H255" s="11" t="n">
        <x:v>480</x:v>
      </x:c>
      <x:c r="I255" s="11" t="n">
        <x:v>20</x:v>
      </x:c>
      <x:c r="J255" s="11" t="n">
        <x:v>0</x:v>
      </x:c>
      <x:c r="K255" s="11" t="n">
        <x:v>460</x:v>
      </x:c>
      <x:c r="L255" s="11" t="n">
        <x:v>8</x:v>
      </x:c>
      <x:c r="M255" s="11" t="n">
        <x:v>3312</x:v>
      </x:c>
      <x:c r="N255" s="11" t="n">
        <x:v>3307</x:v>
      </x:c>
      <x:c r="O255" s="11" t="n">
        <x:v>3241</x:v>
      </x:c>
      <x:c r="P255" s="11" t="n">
        <x:v>66</x:v>
      </x:c>
    </x:row>
    <x:row r="256">
      <x:c r="A256" s="11" t="n">
        <x:v>255</x:v>
      </x:c>
      <x:c r="B256" s="11" t="str">
        <x:v>2026-08-04</x:v>
      </x:c>
      <x:c r="C256" s="11" t="str">
        <x:v>L2</x:v>
      </x:c>
      <x:c r="D256" s="11" t="str">
        <x:v>Envasado B</x:v>
      </x:c>
      <x:c r="E256" s="11" t="str">
        <x:v>Matutino</x:v>
      </x:c>
      <x:c r="F256" s="11" t="str">
        <x:v>P002</x:v>
      </x:c>
      <x:c r="G256" s="11" t="str">
        <x:v>Producto Beta</x:v>
      </x:c>
      <x:c r="H256" s="11" t="n">
        <x:v>480</x:v>
      </x:c>
      <x:c r="I256" s="11" t="n">
        <x:v>26</x:v>
      </x:c>
      <x:c r="J256" s="11" t="n">
        <x:v>72</x:v>
      </x:c>
      <x:c r="K256" s="11" t="n">
        <x:v>382</x:v>
      </x:c>
      <x:c r="L256" s="11" t="n">
        <x:v>7.5</x:v>
      </x:c>
      <x:c r="M256" s="11" t="n">
        <x:v>3064</x:v>
      </x:c>
      <x:c r="N256" s="11" t="n">
        <x:v>2617</x:v>
      </x:c>
      <x:c r="O256" s="11" t="n">
        <x:v>2430</x:v>
      </x:c>
      <x:c r="P256" s="11" t="n">
        <x:v>187</x:v>
      </x:c>
    </x:row>
    <x:row r="257">
      <x:c r="A257" s="11" t="n">
        <x:v>256</x:v>
      </x:c>
      <x:c r="B257" s="11" t="str">
        <x:v>2026-08-04</x:v>
      </x:c>
      <x:c r="C257" s="11" t="str">
        <x:v>L2</x:v>
      </x:c>
      <x:c r="D257" s="11" t="str">
        <x:v>Envasado B</x:v>
      </x:c>
      <x:c r="E257" s="11" t="str">
        <x:v>Vespertino</x:v>
      </x:c>
      <x:c r="F257" s="11" t="str">
        <x:v>P001</x:v>
      </x:c>
      <x:c r="G257" s="11" t="str">
        <x:v>Producto Alfa</x:v>
      </x:c>
      <x:c r="H257" s="11" t="n">
        <x:v>480</x:v>
      </x:c>
      <x:c r="I257" s="11" t="n">
        <x:v>35</x:v>
      </x:c>
      <x:c r="J257" s="11" t="n">
        <x:v>18</x:v>
      </x:c>
      <x:c r="K257" s="11" t="n">
        <x:v>427</x:v>
      </x:c>
      <x:c r="L257" s="11" t="n">
        <x:v>7.5</x:v>
      </x:c>
      <x:c r="M257" s="11" t="n">
        <x:v>3003</x:v>
      </x:c>
      <x:c r="N257" s="11" t="n">
        <x:v>2976</x:v>
      </x:c>
      <x:c r="O257" s="11" t="n">
        <x:v>2854</x:v>
      </x:c>
      <x:c r="P257" s="11" t="n">
        <x:v>122</x:v>
      </x:c>
    </x:row>
    <x:row r="258">
      <x:c r="A258" s="11" t="n">
        <x:v>257</x:v>
      </x:c>
      <x:c r="B258" s="11" t="str">
        <x:v>2026-08-04</x:v>
      </x:c>
      <x:c r="C258" s="11" t="str">
        <x:v>L3</x:v>
      </x:c>
      <x:c r="D258" s="11" t="str">
        <x:v>Empaque</x:v>
      </x:c>
      <x:c r="E258" s="11" t="str">
        <x:v>Matutino</x:v>
      </x:c>
      <x:c r="F258" s="11" t="str">
        <x:v>P003</x:v>
      </x:c>
      <x:c r="G258" s="11" t="str">
        <x:v>Producto Gamma</x:v>
      </x:c>
      <x:c r="H258" s="11" t="n">
        <x:v>480</x:v>
      </x:c>
      <x:c r="I258" s="11" t="n">
        <x:v>21</x:v>
      </x:c>
      <x:c r="J258" s="11" t="n">
        <x:v>10</x:v>
      </x:c>
      <x:c r="K258" s="11" t="n">
        <x:v>449</x:v>
      </x:c>
      <x:c r="L258" s="11" t="n">
        <x:v>8.67</x:v>
      </x:c>
      <x:c r="M258" s="11" t="n">
        <x:v>3580</x:v>
      </x:c>
      <x:c r="N258" s="11" t="n">
        <x:v>3676</x:v>
      </x:c>
      <x:c r="O258" s="11" t="n">
        <x:v>3513</x:v>
      </x:c>
      <x:c r="P258" s="11" t="n">
        <x:v>163</x:v>
      </x:c>
    </x:row>
    <x:row r="259">
      <x:c r="A259" s="11" t="n">
        <x:v>258</x:v>
      </x:c>
      <x:c r="B259" s="11" t="str">
        <x:v>2026-08-04</x:v>
      </x:c>
      <x:c r="C259" s="11" t="str">
        <x:v>L3</x:v>
      </x:c>
      <x:c r="D259" s="11" t="str">
        <x:v>Empaque</x:v>
      </x:c>
      <x:c r="E259" s="11" t="str">
        <x:v>Vespertino</x:v>
      </x:c>
      <x:c r="F259" s="11" t="str">
        <x:v>P002</x:v>
      </x:c>
      <x:c r="G259" s="11" t="str">
        <x:v>Producto Beta</x:v>
      </x:c>
      <x:c r="H259" s="11" t="n">
        <x:v>480</x:v>
      </x:c>
      <x:c r="I259" s="11" t="n">
        <x:v>33</x:v>
      </x:c>
      <x:c r="J259" s="11" t="n">
        <x:v>43</x:v>
      </x:c>
      <x:c r="K259" s="11" t="n">
        <x:v>404</x:v>
      </x:c>
      <x:c r="L259" s="11" t="n">
        <x:v>8.67</x:v>
      </x:c>
      <x:c r="M259" s="11" t="n">
        <x:v>3486</x:v>
      </x:c>
      <x:c r="N259" s="11" t="n">
        <x:v>2917</x:v>
      </x:c>
      <x:c r="O259" s="11" t="n">
        <x:v>2700</x:v>
      </x:c>
      <x:c r="P259" s="11" t="n">
        <x:v>217</x:v>
      </x:c>
    </x:row>
    <x:row r="260">
      <x:c r="A260" s="11" t="n">
        <x:v>259</x:v>
      </x:c>
      <x:c r="B260" s="11" t="str">
        <x:v>2026-08-04</x:v>
      </x:c>
      <x:c r="C260" s="11" t="str">
        <x:v>L4</x:v>
      </x:c>
      <x:c r="D260" s="11" t="str">
        <x:v>Etiquetado</x:v>
      </x:c>
      <x:c r="E260" s="11" t="str">
        <x:v>Matutino</x:v>
      </x:c>
      <x:c r="F260" s="11" t="str">
        <x:v>P001</x:v>
      </x:c>
      <x:c r="G260" s="11" t="str">
        <x:v>Producto Alfa</x:v>
      </x:c>
      <x:c r="H260" s="11" t="n">
        <x:v>480</x:v>
      </x:c>
      <x:c r="I260" s="11" t="n">
        <x:v>20</x:v>
      </x:c>
      <x:c r="J260" s="11" t="n">
        <x:v>28</x:v>
      </x:c>
      <x:c r="K260" s="11" t="n">
        <x:v>432</x:v>
      </x:c>
      <x:c r="L260" s="11" t="n">
        <x:v>10</x:v>
      </x:c>
      <x:c r="M260" s="11" t="n">
        <x:v>4140</x:v>
      </x:c>
      <x:c r="N260" s="11" t="n">
        <x:v>3869</x:v>
      </x:c>
      <x:c r="O260" s="11" t="n">
        <x:v>3758</x:v>
      </x:c>
      <x:c r="P260" s="11" t="n">
        <x:v>111</x:v>
      </x:c>
    </x:row>
    <x:row r="261">
      <x:c r="A261" s="11" t="n">
        <x:v>260</x:v>
      </x:c>
      <x:c r="B261" s="11" t="str">
        <x:v>2026-08-04</x:v>
      </x:c>
      <x:c r="C261" s="11" t="str">
        <x:v>L4</x:v>
      </x:c>
      <x:c r="D261" s="11" t="str">
        <x:v>Etiquetado</x:v>
      </x:c>
      <x:c r="E261" s="11" t="str">
        <x:v>Vespertino</x:v>
      </x:c>
      <x:c r="F261" s="11" t="str">
        <x:v>P002</x:v>
      </x:c>
      <x:c r="G261" s="11" t="str">
        <x:v>Producto Beta</x:v>
      </x:c>
      <x:c r="H261" s="11" t="n">
        <x:v>480</x:v>
      </x:c>
      <x:c r="I261" s="11" t="n">
        <x:v>30</x:v>
      </x:c>
      <x:c r="J261" s="11" t="n">
        <x:v>39</x:v>
      </x:c>
      <x:c r="K261" s="11" t="n">
        <x:v>411</x:v>
      </x:c>
      <x:c r="L261" s="11" t="n">
        <x:v>10</x:v>
      </x:c>
      <x:c r="M261" s="11" t="n">
        <x:v>4050</x:v>
      </x:c>
      <x:c r="N261" s="11" t="n">
        <x:v>3590</x:v>
      </x:c>
      <x:c r="O261" s="11" t="n">
        <x:v>3346</x:v>
      </x:c>
      <x:c r="P261" s="11" t="n">
        <x:v>244</x:v>
      </x:c>
    </x:row>
    <x:row r="262">
      <x:c r="A262" s="11" t="n">
        <x:v>261</x:v>
      </x:c>
      <x:c r="B262" s="11" t="str">
        <x:v>2026-08-05</x:v>
      </x:c>
      <x:c r="C262" s="11" t="str">
        <x:v>L1</x:v>
      </x:c>
      <x:c r="D262" s="11" t="str">
        <x:v>Envasado A</x:v>
      </x:c>
      <x:c r="E262" s="11" t="str">
        <x:v>Matutino</x:v>
      </x:c>
      <x:c r="F262" s="11" t="str">
        <x:v>P001</x:v>
      </x:c>
      <x:c r="G262" s="11" t="str">
        <x:v>Producto Alfa</x:v>
      </x:c>
      <x:c r="H262" s="11" t="n">
        <x:v>480</x:v>
      </x:c>
      <x:c r="I262" s="11" t="n">
        <x:v>31</x:v>
      </x:c>
      <x:c r="J262" s="11" t="n">
        <x:v>45</x:v>
      </x:c>
      <x:c r="K262" s="11" t="n">
        <x:v>404</x:v>
      </x:c>
      <x:c r="L262" s="11" t="n">
        <x:v>8</x:v>
      </x:c>
      <x:c r="M262" s="11" t="n">
        <x:v>3232</x:v>
      </x:c>
      <x:c r="N262" s="11" t="n">
        <x:v>3042</x:v>
      </x:c>
      <x:c r="O262" s="11" t="n">
        <x:v>2908</x:v>
      </x:c>
      <x:c r="P262" s="11" t="n">
        <x:v>134</x:v>
      </x:c>
    </x:row>
    <x:row r="263">
      <x:c r="A263" s="11" t="n">
        <x:v>262</x:v>
      </x:c>
      <x:c r="B263" s="11" t="str">
        <x:v>2026-08-05</x:v>
      </x:c>
      <x:c r="C263" s="11" t="str">
        <x:v>L1</x:v>
      </x:c>
      <x:c r="D263" s="11" t="str">
        <x:v>Envasado A</x:v>
      </x:c>
      <x:c r="E263" s="11" t="str">
        <x:v>Vespertino</x:v>
      </x:c>
      <x:c r="F263" s="11" t="str">
        <x:v>P002</x:v>
      </x:c>
      <x:c r="G263" s="11" t="str">
        <x:v>Producto Beta</x:v>
      </x:c>
      <x:c r="H263" s="11" t="n">
        <x:v>480</x:v>
      </x:c>
      <x:c r="I263" s="11" t="n">
        <x:v>31</x:v>
      </x:c>
      <x:c r="J263" s="11" t="n">
        <x:v>60</x:v>
      </x:c>
      <x:c r="K263" s="11" t="n">
        <x:v>389</x:v>
      </x:c>
      <x:c r="L263" s="11" t="n">
        <x:v>8</x:v>
      </x:c>
      <x:c r="M263" s="11" t="n">
        <x:v>3232</x:v>
      </x:c>
      <x:c r="N263" s="11" t="n">
        <x:v>2810</x:v>
      </x:c>
      <x:c r="O263" s="11" t="n">
        <x:v>2632</x:v>
      </x:c>
      <x:c r="P263" s="11" t="n">
        <x:v>178</x:v>
      </x:c>
    </x:row>
    <x:row r="264">
      <x:c r="A264" s="11" t="n">
        <x:v>263</x:v>
      </x:c>
      <x:c r="B264" s="11" t="str">
        <x:v>2026-08-05</x:v>
      </x:c>
      <x:c r="C264" s="11" t="str">
        <x:v>L2</x:v>
      </x:c>
      <x:c r="D264" s="11" t="str">
        <x:v>Envasado B</x:v>
      </x:c>
      <x:c r="E264" s="11" t="str">
        <x:v>Matutino</x:v>
      </x:c>
      <x:c r="F264" s="11" t="str">
        <x:v>P002</x:v>
      </x:c>
      <x:c r="G264" s="11" t="str">
        <x:v>Producto Beta</x:v>
      </x:c>
      <x:c r="H264" s="11" t="n">
        <x:v>480</x:v>
      </x:c>
      <x:c r="I264" s="11" t="n">
        <x:v>34</x:v>
      </x:c>
      <x:c r="J264" s="11" t="n">
        <x:v>42</x:v>
      </x:c>
      <x:c r="K264" s="11" t="n">
        <x:v>404</x:v>
      </x:c>
      <x:c r="L264" s="11" t="n">
        <x:v>7.5</x:v>
      </x:c>
      <x:c r="M264" s="11" t="n">
        <x:v>3010</x:v>
      </x:c>
      <x:c r="N264" s="11" t="n">
        <x:v>2788</x:v>
      </x:c>
      <x:c r="O264" s="11" t="n">
        <x:v>2674</x:v>
      </x:c>
      <x:c r="P264" s="11" t="n">
        <x:v>114</x:v>
      </x:c>
    </x:row>
    <x:row r="265">
      <x:c r="A265" s="11" t="n">
        <x:v>264</x:v>
      </x:c>
      <x:c r="B265" s="11" t="str">
        <x:v>2026-08-05</x:v>
      </x:c>
      <x:c r="C265" s="11" t="str">
        <x:v>L2</x:v>
      </x:c>
      <x:c r="D265" s="11" t="str">
        <x:v>Envasado B</x:v>
      </x:c>
      <x:c r="E265" s="11" t="str">
        <x:v>Vespertino</x:v>
      </x:c>
      <x:c r="F265" s="11" t="str">
        <x:v>P002</x:v>
      </x:c>
      <x:c r="G265" s="11" t="str">
        <x:v>Producto Beta</x:v>
      </x:c>
      <x:c r="H265" s="11" t="n">
        <x:v>480</x:v>
      </x:c>
      <x:c r="I265" s="11" t="n">
        <x:v>24</x:v>
      </x:c>
      <x:c r="J265" s="11" t="n">
        <x:v>15</x:v>
      </x:c>
      <x:c r="K265" s="11" t="n">
        <x:v>441</x:v>
      </x:c>
      <x:c r="L265" s="11" t="n">
        <x:v>7.5</x:v>
      </x:c>
      <x:c r="M265" s="11" t="n">
        <x:v>3078</x:v>
      </x:c>
      <x:c r="N265" s="11" t="n">
        <x:v>3001</x:v>
      </x:c>
      <x:c r="O265" s="11" t="n">
        <x:v>2824</x:v>
      </x:c>
      <x:c r="P265" s="11" t="n">
        <x:v>177</x:v>
      </x:c>
    </x:row>
    <x:row r="266">
      <x:c r="A266" s="11" t="n">
        <x:v>265</x:v>
      </x:c>
      <x:c r="B266" s="11" t="str">
        <x:v>2026-08-05</x:v>
      </x:c>
      <x:c r="C266" s="11" t="str">
        <x:v>L3</x:v>
      </x:c>
      <x:c r="D266" s="11" t="str">
        <x:v>Empaque</x:v>
      </x:c>
      <x:c r="E266" s="11" t="str">
        <x:v>Matutino</x:v>
      </x:c>
      <x:c r="F266" s="11" t="str">
        <x:v>P003</x:v>
      </x:c>
      <x:c r="G266" s="11" t="str">
        <x:v>Producto Gamma</x:v>
      </x:c>
      <x:c r="H266" s="11" t="n">
        <x:v>480</x:v>
      </x:c>
      <x:c r="I266" s="11" t="n">
        <x:v>28</x:v>
      </x:c>
      <x:c r="J266" s="11" t="n">
        <x:v>37</x:v>
      </x:c>
      <x:c r="K266" s="11" t="n">
        <x:v>415</x:v>
      </x:c>
      <x:c r="L266" s="11" t="n">
        <x:v>8.67</x:v>
      </x:c>
      <x:c r="M266" s="11" t="n">
        <x:v>3525</x:v>
      </x:c>
      <x:c r="N266" s="11" t="n">
        <x:v>3414</x:v>
      </x:c>
      <x:c r="O266" s="11" t="n">
        <x:v>3229</x:v>
      </x:c>
      <x:c r="P266" s="11" t="n">
        <x:v>185</x:v>
      </x:c>
    </x:row>
    <x:row r="267">
      <x:c r="A267" s="11" t="n">
        <x:v>266</x:v>
      </x:c>
      <x:c r="B267" s="11" t="str">
        <x:v>2026-08-05</x:v>
      </x:c>
      <x:c r="C267" s="11" t="str">
        <x:v>L3</x:v>
      </x:c>
      <x:c r="D267" s="11" t="str">
        <x:v>Empaque</x:v>
      </x:c>
      <x:c r="E267" s="11" t="str">
        <x:v>Vespertino</x:v>
      </x:c>
      <x:c r="F267" s="11" t="str">
        <x:v>P003</x:v>
      </x:c>
      <x:c r="G267" s="11" t="str">
        <x:v>Producto Gamma</x:v>
      </x:c>
      <x:c r="H267" s="11" t="n">
        <x:v>480</x:v>
      </x:c>
      <x:c r="I267" s="11" t="n">
        <x:v>26</x:v>
      </x:c>
      <x:c r="J267" s="11" t="n">
        <x:v>3</x:v>
      </x:c>
      <x:c r="K267" s="11" t="n">
        <x:v>451</x:v>
      </x:c>
      <x:c r="L267" s="11" t="n">
        <x:v>8.67</x:v>
      </x:c>
      <x:c r="M267" s="11" t="n">
        <x:v>3541</x:v>
      </x:c>
      <x:c r="N267" s="11" t="n">
        <x:v>3871</x:v>
      </x:c>
      <x:c r="O267" s="11" t="n">
        <x:v>3717</x:v>
      </x:c>
      <x:c r="P267" s="11" t="n">
        <x:v>154</x:v>
      </x:c>
    </x:row>
    <x:row r="268">
      <x:c r="A268" s="11" t="n">
        <x:v>267</x:v>
      </x:c>
      <x:c r="B268" s="11" t="str">
        <x:v>2026-08-05</x:v>
      </x:c>
      <x:c r="C268" s="11" t="str">
        <x:v>L4</x:v>
      </x:c>
      <x:c r="D268" s="11" t="str">
        <x:v>Etiquetado</x:v>
      </x:c>
      <x:c r="E268" s="11" t="str">
        <x:v>Matutino</x:v>
      </x:c>
      <x:c r="F268" s="11" t="str">
        <x:v>P001</x:v>
      </x:c>
      <x:c r="G268" s="11" t="str">
        <x:v>Producto Alfa</x:v>
      </x:c>
      <x:c r="H268" s="11" t="n">
        <x:v>480</x:v>
      </x:c>
      <x:c r="I268" s="11" t="n">
        <x:v>28</x:v>
      </x:c>
      <x:c r="J268" s="11" t="n">
        <x:v>77</x:v>
      </x:c>
      <x:c r="K268" s="11" t="n">
        <x:v>375</x:v>
      </x:c>
      <x:c r="L268" s="11" t="n">
        <x:v>10</x:v>
      </x:c>
      <x:c r="M268" s="11" t="n">
        <x:v>4068</x:v>
      </x:c>
      <x:c r="N268" s="11" t="n">
        <x:v>3457</x:v>
      </x:c>
      <x:c r="O268" s="11" t="n">
        <x:v>3353</x:v>
      </x:c>
      <x:c r="P268" s="11" t="n">
        <x:v>104</x:v>
      </x:c>
    </x:row>
    <x:row r="269">
      <x:c r="A269" s="11" t="n">
        <x:v>268</x:v>
      </x:c>
      <x:c r="B269" s="11" t="str">
        <x:v>2026-08-05</x:v>
      </x:c>
      <x:c r="C269" s="11" t="str">
        <x:v>L4</x:v>
      </x:c>
      <x:c r="D269" s="11" t="str">
        <x:v>Etiquetado</x:v>
      </x:c>
      <x:c r="E269" s="11" t="str">
        <x:v>Vespertino</x:v>
      </x:c>
      <x:c r="F269" s="11" t="str">
        <x:v>P003</x:v>
      </x:c>
      <x:c r="G269" s="11" t="str">
        <x:v>Producto Gamma</x:v>
      </x:c>
      <x:c r="H269" s="11" t="n">
        <x:v>480</x:v>
      </x:c>
      <x:c r="I269" s="11" t="n">
        <x:v>27</x:v>
      </x:c>
      <x:c r="J269" s="11" t="n">
        <x:v>6</x:v>
      </x:c>
      <x:c r="K269" s="11" t="n">
        <x:v>447</x:v>
      </x:c>
      <x:c r="L269" s="11" t="n">
        <x:v>10</x:v>
      </x:c>
      <x:c r="M269" s="11" t="n">
        <x:v>4077</x:v>
      </x:c>
      <x:c r="N269" s="11" t="n">
        <x:v>4015</x:v>
      </x:c>
      <x:c r="O269" s="11" t="n">
        <x:v>3765</x:v>
      </x:c>
      <x:c r="P269" s="11" t="n">
        <x:v>250</x:v>
      </x:c>
    </x:row>
    <x:row r="270">
      <x:c r="A270" s="11" t="n">
        <x:v>269</x:v>
      </x:c>
      <x:c r="B270" s="11" t="str">
        <x:v>2026-08-06</x:v>
      </x:c>
      <x:c r="C270" s="11" t="str">
        <x:v>L1</x:v>
      </x:c>
      <x:c r="D270" s="11" t="str">
        <x:v>Envasado A</x:v>
      </x:c>
      <x:c r="E270" s="11" t="str">
        <x:v>Matutino</x:v>
      </x:c>
      <x:c r="F270" s="11" t="str">
        <x:v>P001</x:v>
      </x:c>
      <x:c r="G270" s="11" t="str">
        <x:v>Producto Alfa</x:v>
      </x:c>
      <x:c r="H270" s="11" t="n">
        <x:v>480</x:v>
      </x:c>
      <x:c r="I270" s="11" t="n">
        <x:v>27</x:v>
      </x:c>
      <x:c r="J270" s="11" t="n">
        <x:v>47</x:v>
      </x:c>
      <x:c r="K270" s="11" t="n">
        <x:v>406</x:v>
      </x:c>
      <x:c r="L270" s="11" t="n">
        <x:v>8</x:v>
      </x:c>
      <x:c r="M270" s="11" t="n">
        <x:v>3261</x:v>
      </x:c>
      <x:c r="N270" s="11" t="n">
        <x:v>2972</x:v>
      </x:c>
      <x:c r="O270" s="11" t="n">
        <x:v>2868</x:v>
      </x:c>
      <x:c r="P270" s="11" t="n">
        <x:v>104</x:v>
      </x:c>
    </x:row>
    <x:row r="271">
      <x:c r="A271" s="11" t="n">
        <x:v>270</x:v>
      </x:c>
      <x:c r="B271" s="11" t="str">
        <x:v>2026-08-06</x:v>
      </x:c>
      <x:c r="C271" s="11" t="str">
        <x:v>L1</x:v>
      </x:c>
      <x:c r="D271" s="11" t="str">
        <x:v>Envasado A</x:v>
      </x:c>
      <x:c r="E271" s="11" t="str">
        <x:v>Vespertino</x:v>
      </x:c>
      <x:c r="F271" s="11" t="str">
        <x:v>P003</x:v>
      </x:c>
      <x:c r="G271" s="11" t="str">
        <x:v>Producto Gamma</x:v>
      </x:c>
      <x:c r="H271" s="11" t="n">
        <x:v>480</x:v>
      </x:c>
      <x:c r="I271" s="11" t="n">
        <x:v>26</x:v>
      </x:c>
      <x:c r="J271" s="11" t="n">
        <x:v>0</x:v>
      </x:c>
      <x:c r="K271" s="11" t="n">
        <x:v>454</x:v>
      </x:c>
      <x:c r="L271" s="11" t="n">
        <x:v>8</x:v>
      </x:c>
      <x:c r="M271" s="11" t="n">
        <x:v>3268</x:v>
      </x:c>
      <x:c r="N271" s="11" t="n">
        <x:v>3573</x:v>
      </x:c>
      <x:c r="O271" s="11" t="n">
        <x:v>3437</x:v>
      </x:c>
      <x:c r="P271" s="11" t="n">
        <x:v>136</x:v>
      </x:c>
    </x:row>
    <x:row r="272">
      <x:c r="A272" s="11" t="n">
        <x:v>271</x:v>
      </x:c>
      <x:c r="B272" s="11" t="str">
        <x:v>2026-08-06</x:v>
      </x:c>
      <x:c r="C272" s="11" t="str">
        <x:v>L2</x:v>
      </x:c>
      <x:c r="D272" s="11" t="str">
        <x:v>Envasado B</x:v>
      </x:c>
      <x:c r="E272" s="11" t="str">
        <x:v>Matutino</x:v>
      </x:c>
      <x:c r="F272" s="11" t="str">
        <x:v>P001</x:v>
      </x:c>
      <x:c r="G272" s="11" t="str">
        <x:v>Producto Alfa</x:v>
      </x:c>
      <x:c r="H272" s="11" t="n">
        <x:v>480</x:v>
      </x:c>
      <x:c r="I272" s="11" t="n">
        <x:v>28</x:v>
      </x:c>
      <x:c r="J272" s="11" t="n">
        <x:v>5</x:v>
      </x:c>
      <x:c r="K272" s="11" t="n">
        <x:v>447</x:v>
      </x:c>
      <x:c r="L272" s="11" t="n">
        <x:v>7.5</x:v>
      </x:c>
      <x:c r="M272" s="11" t="n">
        <x:v>3051</x:v>
      </x:c>
      <x:c r="N272" s="11" t="n">
        <x:v>2953</x:v>
      </x:c>
      <x:c r="O272" s="11" t="n">
        <x:v>2810</x:v>
      </x:c>
      <x:c r="P272" s="11" t="n">
        <x:v>143</x:v>
      </x:c>
    </x:row>
    <x:row r="273">
      <x:c r="A273" s="11" t="n">
        <x:v>272</x:v>
      </x:c>
      <x:c r="B273" s="11" t="str">
        <x:v>2026-08-06</x:v>
      </x:c>
      <x:c r="C273" s="11" t="str">
        <x:v>L2</x:v>
      </x:c>
      <x:c r="D273" s="11" t="str">
        <x:v>Envasado B</x:v>
      </x:c>
      <x:c r="E273" s="11" t="str">
        <x:v>Vespertino</x:v>
      </x:c>
      <x:c r="F273" s="11" t="str">
        <x:v>P002</x:v>
      </x:c>
      <x:c r="G273" s="11" t="str">
        <x:v>Producto Beta</x:v>
      </x:c>
      <x:c r="H273" s="11" t="n">
        <x:v>480</x:v>
      </x:c>
      <x:c r="I273" s="11" t="n">
        <x:v>22</x:v>
      </x:c>
      <x:c r="J273" s="11" t="n">
        <x:v>39</x:v>
      </x:c>
      <x:c r="K273" s="11" t="n">
        <x:v>419</x:v>
      </x:c>
      <x:c r="L273" s="11" t="n">
        <x:v>7.5</x:v>
      </x:c>
      <x:c r="M273" s="11" t="n">
        <x:v>3091</x:v>
      </x:c>
      <x:c r="N273" s="11" t="n">
        <x:v>2816</x:v>
      </x:c>
      <x:c r="O273" s="11" t="n">
        <x:v>2664</x:v>
      </x:c>
      <x:c r="P273" s="11" t="n">
        <x:v>152</x:v>
      </x:c>
    </x:row>
    <x:row r="274">
      <x:c r="A274" s="11" t="n">
        <x:v>273</x:v>
      </x:c>
      <x:c r="B274" s="11" t="str">
        <x:v>2026-08-06</x:v>
      </x:c>
      <x:c r="C274" s="11" t="str">
        <x:v>L3</x:v>
      </x:c>
      <x:c r="D274" s="11" t="str">
        <x:v>Empaque</x:v>
      </x:c>
      <x:c r="E274" s="11" t="str">
        <x:v>Matutino</x:v>
      </x:c>
      <x:c r="F274" s="11" t="str">
        <x:v>P003</x:v>
      </x:c>
      <x:c r="G274" s="11" t="str">
        <x:v>Producto Gamma</x:v>
      </x:c>
      <x:c r="H274" s="11" t="n">
        <x:v>480</x:v>
      </x:c>
      <x:c r="I274" s="11" t="n">
        <x:v>35</x:v>
      </x:c>
      <x:c r="J274" s="11" t="n">
        <x:v>47</x:v>
      </x:c>
      <x:c r="K274" s="11" t="n">
        <x:v>398</x:v>
      </x:c>
      <x:c r="L274" s="11" t="n">
        <x:v>8.67</x:v>
      </x:c>
      <x:c r="M274" s="11" t="n">
        <x:v>3471</x:v>
      </x:c>
      <x:c r="N274" s="11" t="n">
        <x:v>3260</x:v>
      </x:c>
      <x:c r="O274" s="11" t="n">
        <x:v>3127</x:v>
      </x:c>
      <x:c r="P274" s="11" t="n">
        <x:v>133</x:v>
      </x:c>
    </x:row>
    <x:row r="275">
      <x:c r="A275" s="11" t="n">
        <x:v>274</x:v>
      </x:c>
      <x:c r="B275" s="11" t="str">
        <x:v>2026-08-06</x:v>
      </x:c>
      <x:c r="C275" s="11" t="str">
        <x:v>L3</x:v>
      </x:c>
      <x:c r="D275" s="11" t="str">
        <x:v>Empaque</x:v>
      </x:c>
      <x:c r="E275" s="11" t="str">
        <x:v>Vespertino</x:v>
      </x:c>
      <x:c r="F275" s="11" t="str">
        <x:v>P003</x:v>
      </x:c>
      <x:c r="G275" s="11" t="str">
        <x:v>Producto Gamma</x:v>
      </x:c>
      <x:c r="H275" s="11" t="n">
        <x:v>480</x:v>
      </x:c>
      <x:c r="I275" s="11" t="n">
        <x:v>35</x:v>
      </x:c>
      <x:c r="J275" s="11" t="n">
        <x:v>16</x:v>
      </x:c>
      <x:c r="K275" s="11" t="n">
        <x:v>429</x:v>
      </x:c>
      <x:c r="L275" s="11" t="n">
        <x:v>8.67</x:v>
      </x:c>
      <x:c r="M275" s="11" t="n">
        <x:v>3471</x:v>
      </x:c>
      <x:c r="N275" s="11" t="n">
        <x:v>3432</x:v>
      </x:c>
      <x:c r="O275" s="11" t="n">
        <x:v>3232</x:v>
      </x:c>
      <x:c r="P275" s="11" t="n">
        <x:v>200</x:v>
      </x:c>
    </x:row>
    <x:row r="276">
      <x:c r="A276" s="11" t="n">
        <x:v>275</x:v>
      </x:c>
      <x:c r="B276" s="11" t="str">
        <x:v>2026-08-06</x:v>
      </x:c>
      <x:c r="C276" s="11" t="str">
        <x:v>L4</x:v>
      </x:c>
      <x:c r="D276" s="11" t="str">
        <x:v>Etiquetado</x:v>
      </x:c>
      <x:c r="E276" s="11" t="str">
        <x:v>Matutino</x:v>
      </x:c>
      <x:c r="F276" s="11" t="str">
        <x:v>P001</x:v>
      </x:c>
      <x:c r="G276" s="11" t="str">
        <x:v>Producto Alfa</x:v>
      </x:c>
      <x:c r="H276" s="11" t="n">
        <x:v>480</x:v>
      </x:c>
      <x:c r="I276" s="11" t="n">
        <x:v>23</x:v>
      </x:c>
      <x:c r="J276" s="11" t="n">
        <x:v>37</x:v>
      </x:c>
      <x:c r="K276" s="11" t="n">
        <x:v>420</x:v>
      </x:c>
      <x:c r="L276" s="11" t="n">
        <x:v>10</x:v>
      </x:c>
      <x:c r="M276" s="11" t="n">
        <x:v>4113</x:v>
      </x:c>
      <x:c r="N276" s="11" t="n">
        <x:v>4064</x:v>
      </x:c>
      <x:c r="O276" s="11" t="n">
        <x:v>3906</x:v>
      </x:c>
      <x:c r="P276" s="11" t="n">
        <x:v>158</x:v>
      </x:c>
    </x:row>
    <x:row r="277">
      <x:c r="A277" s="11" t="n">
        <x:v>276</x:v>
      </x:c>
      <x:c r="B277" s="11" t="str">
        <x:v>2026-08-06</x:v>
      </x:c>
      <x:c r="C277" s="11" t="str">
        <x:v>L4</x:v>
      </x:c>
      <x:c r="D277" s="11" t="str">
        <x:v>Etiquetado</x:v>
      </x:c>
      <x:c r="E277" s="11" t="str">
        <x:v>Vespertino</x:v>
      </x:c>
      <x:c r="F277" s="11" t="str">
        <x:v>P001</x:v>
      </x:c>
      <x:c r="G277" s="11" t="str">
        <x:v>Producto Alfa</x:v>
      </x:c>
      <x:c r="H277" s="11" t="n">
        <x:v>480</x:v>
      </x:c>
      <x:c r="I277" s="11" t="n">
        <x:v>35</x:v>
      </x:c>
      <x:c r="J277" s="11" t="n">
        <x:v>0</x:v>
      </x:c>
      <x:c r="K277" s="11" t="n">
        <x:v>445</x:v>
      </x:c>
      <x:c r="L277" s="11" t="n">
        <x:v>10</x:v>
      </x:c>
      <x:c r="M277" s="11" t="n">
        <x:v>4005</x:v>
      </x:c>
      <x:c r="N277" s="11" t="n">
        <x:v>3714</x:v>
      </x:c>
      <x:c r="O277" s="11" t="n">
        <x:v>3568</x:v>
      </x:c>
      <x:c r="P277" s="11" t="n">
        <x:v>146</x:v>
      </x:c>
    </x:row>
    <x:row r="278">
      <x:c r="A278" s="11" t="n">
        <x:v>277</x:v>
      </x:c>
      <x:c r="B278" s="11" t="str">
        <x:v>2026-08-07</x:v>
      </x:c>
      <x:c r="C278" s="11" t="str">
        <x:v>L1</x:v>
      </x:c>
      <x:c r="D278" s="11" t="str">
        <x:v>Envasado A</x:v>
      </x:c>
      <x:c r="E278" s="11" t="str">
        <x:v>Matutino</x:v>
      </x:c>
      <x:c r="F278" s="11" t="str">
        <x:v>P003</x:v>
      </x:c>
      <x:c r="G278" s="11" t="str">
        <x:v>Producto Gamma</x:v>
      </x:c>
      <x:c r="H278" s="11" t="n">
        <x:v>480</x:v>
      </x:c>
      <x:c r="I278" s="11" t="n">
        <x:v>29</x:v>
      </x:c>
      <x:c r="J278" s="11" t="n">
        <x:v>8</x:v>
      </x:c>
      <x:c r="K278" s="11" t="n">
        <x:v>443</x:v>
      </x:c>
      <x:c r="L278" s="11" t="n">
        <x:v>8</x:v>
      </x:c>
      <x:c r="M278" s="11" t="n">
        <x:v>3247</x:v>
      </x:c>
      <x:c r="N278" s="11" t="n">
        <x:v>2925</x:v>
      </x:c>
      <x:c r="O278" s="11" t="n">
        <x:v>2714</x:v>
      </x:c>
      <x:c r="P278" s="11" t="n">
        <x:v>211</x:v>
      </x:c>
    </x:row>
    <x:row r="279">
      <x:c r="A279" s="11" t="n">
        <x:v>278</x:v>
      </x:c>
      <x:c r="B279" s="11" t="str">
        <x:v>2026-08-07</x:v>
      </x:c>
      <x:c r="C279" s="11" t="str">
        <x:v>L1</x:v>
      </x:c>
      <x:c r="D279" s="11" t="str">
        <x:v>Envasado A</x:v>
      </x:c>
      <x:c r="E279" s="11" t="str">
        <x:v>Vespertino</x:v>
      </x:c>
      <x:c r="F279" s="11" t="str">
        <x:v>P002</x:v>
      </x:c>
      <x:c r="G279" s="11" t="str">
        <x:v>Producto Beta</x:v>
      </x:c>
      <x:c r="H279" s="11" t="n">
        <x:v>480</x:v>
      </x:c>
      <x:c r="I279" s="11" t="n">
        <x:v>35</x:v>
      </x:c>
      <x:c r="J279" s="11" t="n">
        <x:v>0</x:v>
      </x:c>
      <x:c r="K279" s="11" t="n">
        <x:v>445</x:v>
      </x:c>
      <x:c r="L279" s="11" t="n">
        <x:v>8</x:v>
      </x:c>
      <x:c r="M279" s="11" t="n">
        <x:v>3204</x:v>
      </x:c>
      <x:c r="N279" s="11" t="n">
        <x:v>3169</x:v>
      </x:c>
      <x:c r="O279" s="11" t="n">
        <x:v>3016</x:v>
      </x:c>
      <x:c r="P279" s="11" t="n">
        <x:v>153</x:v>
      </x:c>
    </x:row>
    <x:row r="280">
      <x:c r="A280" s="11" t="n">
        <x:v>279</x:v>
      </x:c>
      <x:c r="B280" s="11" t="str">
        <x:v>2026-08-07</x:v>
      </x:c>
      <x:c r="C280" s="11" t="str">
        <x:v>L2</x:v>
      </x:c>
      <x:c r="D280" s="11" t="str">
        <x:v>Envasado B</x:v>
      </x:c>
      <x:c r="E280" s="11" t="str">
        <x:v>Matutino</x:v>
      </x:c>
      <x:c r="F280" s="11" t="str">
        <x:v>P002</x:v>
      </x:c>
      <x:c r="G280" s="11" t="str">
        <x:v>Producto Beta</x:v>
      </x:c>
      <x:c r="H280" s="11" t="n">
        <x:v>480</x:v>
      </x:c>
      <x:c r="I280" s="11" t="n">
        <x:v>29</x:v>
      </x:c>
      <x:c r="J280" s="11" t="n">
        <x:v>1</x:v>
      </x:c>
      <x:c r="K280" s="11" t="n">
        <x:v>450</x:v>
      </x:c>
      <x:c r="L280" s="11" t="n">
        <x:v>7.5</x:v>
      </x:c>
      <x:c r="M280" s="11" t="n">
        <x:v>3044</x:v>
      </x:c>
      <x:c r="N280" s="11" t="n">
        <x:v>2872</x:v>
      </x:c>
      <x:c r="O280" s="11" t="n">
        <x:v>2672</x:v>
      </x:c>
      <x:c r="P280" s="11" t="n">
        <x:v>200</x:v>
      </x:c>
    </x:row>
    <x:row r="281">
      <x:c r="A281" s="11" t="n">
        <x:v>280</x:v>
      </x:c>
      <x:c r="B281" s="11" t="str">
        <x:v>2026-08-07</x:v>
      </x:c>
      <x:c r="C281" s="11" t="str">
        <x:v>L2</x:v>
      </x:c>
      <x:c r="D281" s="11" t="str">
        <x:v>Envasado B</x:v>
      </x:c>
      <x:c r="E281" s="11" t="str">
        <x:v>Vespertino</x:v>
      </x:c>
      <x:c r="F281" s="11" t="str">
        <x:v>P001</x:v>
      </x:c>
      <x:c r="G281" s="11" t="str">
        <x:v>Producto Alfa</x:v>
      </x:c>
      <x:c r="H281" s="11" t="n">
        <x:v>480</x:v>
      </x:c>
      <x:c r="I281" s="11" t="n">
        <x:v>24</x:v>
      </x:c>
      <x:c r="J281" s="11" t="n">
        <x:v>16</x:v>
      </x:c>
      <x:c r="K281" s="11" t="n">
        <x:v>440</x:v>
      </x:c>
      <x:c r="L281" s="11" t="n">
        <x:v>7.5</x:v>
      </x:c>
      <x:c r="M281" s="11" t="n">
        <x:v>3078</x:v>
      </x:c>
      <x:c r="N281" s="11" t="n">
        <x:v>2963</x:v>
      </x:c>
      <x:c r="O281" s="11" t="n">
        <x:v>2846</x:v>
      </x:c>
      <x:c r="P281" s="11" t="n">
        <x:v>117</x:v>
      </x:c>
    </x:row>
    <x:row r="282">
      <x:c r="A282" s="11" t="n">
        <x:v>281</x:v>
      </x:c>
      <x:c r="B282" s="11" t="str">
        <x:v>2026-08-07</x:v>
      </x:c>
      <x:c r="C282" s="11" t="str">
        <x:v>L3</x:v>
      </x:c>
      <x:c r="D282" s="11" t="str">
        <x:v>Empaque</x:v>
      </x:c>
      <x:c r="E282" s="11" t="str">
        <x:v>Matutino</x:v>
      </x:c>
      <x:c r="F282" s="11" t="str">
        <x:v>P002</x:v>
      </x:c>
      <x:c r="G282" s="11" t="str">
        <x:v>Producto Beta</x:v>
      </x:c>
      <x:c r="H282" s="11" t="n">
        <x:v>480</x:v>
      </x:c>
      <x:c r="I282" s="11" t="n">
        <x:v>24</x:v>
      </x:c>
      <x:c r="J282" s="11" t="n">
        <x:v>66</x:v>
      </x:c>
      <x:c r="K282" s="11" t="n">
        <x:v>390</x:v>
      </x:c>
      <x:c r="L282" s="11" t="n">
        <x:v>8.67</x:v>
      </x:c>
      <x:c r="M282" s="11" t="n">
        <x:v>3556</x:v>
      </x:c>
      <x:c r="N282" s="11" t="n">
        <x:v>3216</x:v>
      </x:c>
      <x:c r="O282" s="11" t="n">
        <x:v>3055</x:v>
      </x:c>
      <x:c r="P282" s="11" t="n">
        <x:v>161</x:v>
      </x:c>
    </x:row>
    <x:row r="283">
      <x:c r="A283" s="11" t="n">
        <x:v>282</x:v>
      </x:c>
      <x:c r="B283" s="11" t="str">
        <x:v>2026-08-07</x:v>
      </x:c>
      <x:c r="C283" s="11" t="str">
        <x:v>L3</x:v>
      </x:c>
      <x:c r="D283" s="11" t="str">
        <x:v>Empaque</x:v>
      </x:c>
      <x:c r="E283" s="11" t="str">
        <x:v>Vespertino</x:v>
      </x:c>
      <x:c r="F283" s="11" t="str">
        <x:v>P003</x:v>
      </x:c>
      <x:c r="G283" s="11" t="str">
        <x:v>Producto Gamma</x:v>
      </x:c>
      <x:c r="H283" s="11" t="n">
        <x:v>480</x:v>
      </x:c>
      <x:c r="I283" s="11" t="n">
        <x:v>27</x:v>
      </x:c>
      <x:c r="J283" s="11" t="n">
        <x:v>4</x:v>
      </x:c>
      <x:c r="K283" s="11" t="n">
        <x:v>449</x:v>
      </x:c>
      <x:c r="L283" s="11" t="n">
        <x:v>8.67</x:v>
      </x:c>
      <x:c r="M283" s="11" t="n">
        <x:v>3533</x:v>
      </x:c>
      <x:c r="N283" s="11" t="n">
        <x:v>3324</x:v>
      </x:c>
      <x:c r="O283" s="11" t="n">
        <x:v>3169</x:v>
      </x:c>
      <x:c r="P283" s="11" t="n">
        <x:v>155</x:v>
      </x:c>
    </x:row>
    <x:row r="284">
      <x:c r="A284" s="11" t="n">
        <x:v>283</x:v>
      </x:c>
      <x:c r="B284" s="11" t="str">
        <x:v>2026-08-07</x:v>
      </x:c>
      <x:c r="C284" s="11" t="str">
        <x:v>L4</x:v>
      </x:c>
      <x:c r="D284" s="11" t="str">
        <x:v>Etiquetado</x:v>
      </x:c>
      <x:c r="E284" s="11" t="str">
        <x:v>Matutino</x:v>
      </x:c>
      <x:c r="F284" s="11" t="str">
        <x:v>P003</x:v>
      </x:c>
      <x:c r="G284" s="11" t="str">
        <x:v>Producto Gamma</x:v>
      </x:c>
      <x:c r="H284" s="11" t="n">
        <x:v>480</x:v>
      </x:c>
      <x:c r="I284" s="11" t="n">
        <x:v>16</x:v>
      </x:c>
      <x:c r="J284" s="11" t="n">
        <x:v>0</x:v>
      </x:c>
      <x:c r="K284" s="11" t="n">
        <x:v>464</x:v>
      </x:c>
      <x:c r="L284" s="11" t="n">
        <x:v>10</x:v>
      </x:c>
      <x:c r="M284" s="11" t="n">
        <x:v>4176</x:v>
      </x:c>
      <x:c r="N284" s="11" t="n">
        <x:v>4340</x:v>
      </x:c>
      <x:c r="O284" s="11" t="n">
        <x:v>4096</x:v>
      </x:c>
      <x:c r="P284" s="11" t="n">
        <x:v>244</x:v>
      </x:c>
    </x:row>
    <x:row r="285">
      <x:c r="A285" s="11" t="n">
        <x:v>284</x:v>
      </x:c>
      <x:c r="B285" s="11" t="str">
        <x:v>2026-08-07</x:v>
      </x:c>
      <x:c r="C285" s="11" t="str">
        <x:v>L4</x:v>
      </x:c>
      <x:c r="D285" s="11" t="str">
        <x:v>Etiquetado</x:v>
      </x:c>
      <x:c r="E285" s="11" t="str">
        <x:v>Vespertino</x:v>
      </x:c>
      <x:c r="F285" s="11" t="str">
        <x:v>P002</x:v>
      </x:c>
      <x:c r="G285" s="11" t="str">
        <x:v>Producto Beta</x:v>
      </x:c>
      <x:c r="H285" s="11" t="n">
        <x:v>480</x:v>
      </x:c>
      <x:c r="I285" s="11" t="n">
        <x:v>31</x:v>
      </x:c>
      <x:c r="J285" s="11" t="n">
        <x:v>12</x:v>
      </x:c>
      <x:c r="K285" s="11" t="n">
        <x:v>437</x:v>
      </x:c>
      <x:c r="L285" s="11" t="n">
        <x:v>10</x:v>
      </x:c>
      <x:c r="M285" s="11" t="n">
        <x:v>4041</x:v>
      </x:c>
      <x:c r="N285" s="11" t="n">
        <x:v>4017</x:v>
      </x:c>
      <x:c r="O285" s="11" t="n">
        <x:v>3789</x:v>
      </x:c>
      <x:c r="P285" s="11" t="n">
        <x:v>228</x:v>
      </x:c>
    </x:row>
    <x:row r="286">
      <x:c r="A286" s="11" t="n">
        <x:v>285</x:v>
      </x:c>
      <x:c r="B286" s="11" t="str">
        <x:v>2026-08-08</x:v>
      </x:c>
      <x:c r="C286" s="11" t="str">
        <x:v>L1</x:v>
      </x:c>
      <x:c r="D286" s="11" t="str">
        <x:v>Envasado A</x:v>
      </x:c>
      <x:c r="E286" s="11" t="str">
        <x:v>Matutino</x:v>
      </x:c>
      <x:c r="F286" s="11" t="str">
        <x:v>P001</x:v>
      </x:c>
      <x:c r="G286" s="11" t="str">
        <x:v>Producto Alfa</x:v>
      </x:c>
      <x:c r="H286" s="11" t="n">
        <x:v>480</x:v>
      </x:c>
      <x:c r="I286" s="11" t="n">
        <x:v>25</x:v>
      </x:c>
      <x:c r="J286" s="11" t="n">
        <x:v>37</x:v>
      </x:c>
      <x:c r="K286" s="11" t="n">
        <x:v>418</x:v>
      </x:c>
      <x:c r="L286" s="11" t="n">
        <x:v>8</x:v>
      </x:c>
      <x:c r="M286" s="11" t="n">
        <x:v>3276</x:v>
      </x:c>
      <x:c r="N286" s="11" t="n">
        <x:v>3036</x:v>
      </x:c>
      <x:c r="O286" s="11" t="n">
        <x:v>2908</x:v>
      </x:c>
      <x:c r="P286" s="11" t="n">
        <x:v>128</x:v>
      </x:c>
    </x:row>
    <x:row r="287">
      <x:c r="A287" s="11" t="n">
        <x:v>286</x:v>
      </x:c>
      <x:c r="B287" s="11" t="str">
        <x:v>2026-08-08</x:v>
      </x:c>
      <x:c r="C287" s="11" t="str">
        <x:v>L1</x:v>
      </x:c>
      <x:c r="D287" s="11" t="str">
        <x:v>Envasado A</x:v>
      </x:c>
      <x:c r="E287" s="11" t="str">
        <x:v>Vespertino</x:v>
      </x:c>
      <x:c r="F287" s="11" t="str">
        <x:v>P003</x:v>
      </x:c>
      <x:c r="G287" s="11" t="str">
        <x:v>Producto Gamma</x:v>
      </x:c>
      <x:c r="H287" s="11" t="n">
        <x:v>480</x:v>
      </x:c>
      <x:c r="I287" s="11" t="n">
        <x:v>29</x:v>
      </x:c>
      <x:c r="J287" s="11" t="n">
        <x:v>23</x:v>
      </x:c>
      <x:c r="K287" s="11" t="n">
        <x:v>428</x:v>
      </x:c>
      <x:c r="L287" s="11" t="n">
        <x:v>8</x:v>
      </x:c>
      <x:c r="M287" s="11" t="n">
        <x:v>3247</x:v>
      </x:c>
      <x:c r="N287" s="11" t="n">
        <x:v>3303</x:v>
      </x:c>
      <x:c r="O287" s="11" t="n">
        <x:v>3135</x:v>
      </x:c>
      <x:c r="P287" s="11" t="n">
        <x:v>168</x:v>
      </x:c>
    </x:row>
    <x:row r="288">
      <x:c r="A288" s="11" t="n">
        <x:v>287</x:v>
      </x:c>
      <x:c r="B288" s="11" t="str">
        <x:v>2026-08-08</x:v>
      </x:c>
      <x:c r="C288" s="11" t="str">
        <x:v>L2</x:v>
      </x:c>
      <x:c r="D288" s="11" t="str">
        <x:v>Envasado B</x:v>
      </x:c>
      <x:c r="E288" s="11" t="str">
        <x:v>Matutino</x:v>
      </x:c>
      <x:c r="F288" s="11" t="str">
        <x:v>P003</x:v>
      </x:c>
      <x:c r="G288" s="11" t="str">
        <x:v>Producto Gamma</x:v>
      </x:c>
      <x:c r="H288" s="11" t="n">
        <x:v>480</x:v>
      </x:c>
      <x:c r="I288" s="11" t="n">
        <x:v>20</x:v>
      </x:c>
      <x:c r="J288" s="11" t="n">
        <x:v>0</x:v>
      </x:c>
      <x:c r="K288" s="11" t="n">
        <x:v>460</x:v>
      </x:c>
      <x:c r="L288" s="11" t="n">
        <x:v>7.5</x:v>
      </x:c>
      <x:c r="M288" s="11" t="n">
        <x:v>3105</x:v>
      </x:c>
      <x:c r="N288" s="11" t="n">
        <x:v>3401</x:v>
      </x:c>
      <x:c r="O288" s="11" t="n">
        <x:v>3177</x:v>
      </x:c>
      <x:c r="P288" s="11" t="n">
        <x:v>224</x:v>
      </x:c>
    </x:row>
    <x:row r="289">
      <x:c r="A289" s="11" t="n">
        <x:v>288</x:v>
      </x:c>
      <x:c r="B289" s="11" t="str">
        <x:v>2026-08-08</x:v>
      </x:c>
      <x:c r="C289" s="11" t="str">
        <x:v>L2</x:v>
      </x:c>
      <x:c r="D289" s="11" t="str">
        <x:v>Envasado B</x:v>
      </x:c>
      <x:c r="E289" s="11" t="str">
        <x:v>Vespertino</x:v>
      </x:c>
      <x:c r="F289" s="11" t="str">
        <x:v>P003</x:v>
      </x:c>
      <x:c r="G289" s="11" t="str">
        <x:v>Producto Gamma</x:v>
      </x:c>
      <x:c r="H289" s="11" t="n">
        <x:v>480</x:v>
      </x:c>
      <x:c r="I289" s="11" t="n">
        <x:v>34</x:v>
      </x:c>
      <x:c r="J289" s="11" t="n">
        <x:v>52</x:v>
      </x:c>
      <x:c r="K289" s="11" t="n">
        <x:v>394</x:v>
      </x:c>
      <x:c r="L289" s="11" t="n">
        <x:v>7.5</x:v>
      </x:c>
      <x:c r="M289" s="11" t="n">
        <x:v>3010</x:v>
      </x:c>
      <x:c r="N289" s="11" t="n">
        <x:v>2866</x:v>
      </x:c>
      <x:c r="O289" s="11" t="n">
        <x:v>2738</x:v>
      </x:c>
      <x:c r="P289" s="11" t="n">
        <x:v>128</x:v>
      </x:c>
    </x:row>
    <x:row r="290">
      <x:c r="A290" s="11" t="n">
        <x:v>289</x:v>
      </x:c>
      <x:c r="B290" s="11" t="str">
        <x:v>2026-08-08</x:v>
      </x:c>
      <x:c r="C290" s="11" t="str">
        <x:v>L3</x:v>
      </x:c>
      <x:c r="D290" s="11" t="str">
        <x:v>Empaque</x:v>
      </x:c>
      <x:c r="E290" s="11" t="str">
        <x:v>Matutino</x:v>
      </x:c>
      <x:c r="F290" s="11" t="str">
        <x:v>P002</x:v>
      </x:c>
      <x:c r="G290" s="11" t="str">
        <x:v>Producto Beta</x:v>
      </x:c>
      <x:c r="H290" s="11" t="n">
        <x:v>480</x:v>
      </x:c>
      <x:c r="I290" s="11" t="n">
        <x:v>17</x:v>
      </x:c>
      <x:c r="J290" s="11" t="n">
        <x:v>14</x:v>
      </x:c>
      <x:c r="K290" s="11" t="n">
        <x:v>449</x:v>
      </x:c>
      <x:c r="L290" s="11" t="n">
        <x:v>8.67</x:v>
      </x:c>
      <x:c r="M290" s="11" t="n">
        <x:v>3611</x:v>
      </x:c>
      <x:c r="N290" s="11" t="n">
        <x:v>3737</x:v>
      </x:c>
      <x:c r="O290" s="11" t="n">
        <x:v>3486</x:v>
      </x:c>
      <x:c r="P290" s="11" t="n">
        <x:v>251</x:v>
      </x:c>
    </x:row>
    <x:row r="291">
      <x:c r="A291" s="11" t="n">
        <x:v>290</x:v>
      </x:c>
      <x:c r="B291" s="11" t="str">
        <x:v>2026-08-08</x:v>
      </x:c>
      <x:c r="C291" s="11" t="str">
        <x:v>L3</x:v>
      </x:c>
      <x:c r="D291" s="11" t="str">
        <x:v>Empaque</x:v>
      </x:c>
      <x:c r="E291" s="11" t="str">
        <x:v>Vespertino</x:v>
      </x:c>
      <x:c r="F291" s="11" t="str">
        <x:v>P003</x:v>
      </x:c>
      <x:c r="G291" s="11" t="str">
        <x:v>Producto Gamma</x:v>
      </x:c>
      <x:c r="H291" s="11" t="n">
        <x:v>480</x:v>
      </x:c>
      <x:c r="I291" s="11" t="n">
        <x:v>34</x:v>
      </x:c>
      <x:c r="J291" s="11" t="n">
        <x:v>38</x:v>
      </x:c>
      <x:c r="K291" s="11" t="n">
        <x:v>408</x:v>
      </x:c>
      <x:c r="L291" s="11" t="n">
        <x:v>8.67</x:v>
      </x:c>
      <x:c r="M291" s="11" t="n">
        <x:v>3478</x:v>
      </x:c>
      <x:c r="N291" s="11" t="n">
        <x:v>3317</x:v>
      </x:c>
      <x:c r="O291" s="11" t="n">
        <x:v>3125</x:v>
      </x:c>
      <x:c r="P291" s="11" t="n">
        <x:v>192</x:v>
      </x:c>
    </x:row>
    <x:row r="292">
      <x:c r="A292" s="11" t="n">
        <x:v>291</x:v>
      </x:c>
      <x:c r="B292" s="11" t="str">
        <x:v>2026-08-08</x:v>
      </x:c>
      <x:c r="C292" s="11" t="str">
        <x:v>L4</x:v>
      </x:c>
      <x:c r="D292" s="11" t="str">
        <x:v>Etiquetado</x:v>
      </x:c>
      <x:c r="E292" s="11" t="str">
        <x:v>Matutino</x:v>
      </x:c>
      <x:c r="F292" s="11" t="str">
        <x:v>P003</x:v>
      </x:c>
      <x:c r="G292" s="11" t="str">
        <x:v>Producto Gamma</x:v>
      </x:c>
      <x:c r="H292" s="11" t="n">
        <x:v>480</x:v>
      </x:c>
      <x:c r="I292" s="11" t="n">
        <x:v>19</x:v>
      </x:c>
      <x:c r="J292" s="11" t="n">
        <x:v>44</x:v>
      </x:c>
      <x:c r="K292" s="11" t="n">
        <x:v>417</x:v>
      </x:c>
      <x:c r="L292" s="11" t="n">
        <x:v>10</x:v>
      </x:c>
      <x:c r="M292" s="11" t="n">
        <x:v>4149</x:v>
      </x:c>
      <x:c r="N292" s="11" t="n">
        <x:v>3713</x:v>
      </x:c>
      <x:c r="O292" s="11" t="n">
        <x:v>3490</x:v>
      </x:c>
      <x:c r="P292" s="11" t="n">
        <x:v>223</x:v>
      </x:c>
    </x:row>
    <x:row r="293">
      <x:c r="A293" s="11" t="n">
        <x:v>292</x:v>
      </x:c>
      <x:c r="B293" s="11" t="str">
        <x:v>2026-08-08</x:v>
      </x:c>
      <x:c r="C293" s="11" t="str">
        <x:v>L4</x:v>
      </x:c>
      <x:c r="D293" s="11" t="str">
        <x:v>Etiquetado</x:v>
      </x:c>
      <x:c r="E293" s="11" t="str">
        <x:v>Vespertino</x:v>
      </x:c>
      <x:c r="F293" s="11" t="str">
        <x:v>P001</x:v>
      </x:c>
      <x:c r="G293" s="11" t="str">
        <x:v>Producto Alfa</x:v>
      </x:c>
      <x:c r="H293" s="11" t="n">
        <x:v>480</x:v>
      </x:c>
      <x:c r="I293" s="11" t="n">
        <x:v>34</x:v>
      </x:c>
      <x:c r="J293" s="11" t="n">
        <x:v>1</x:v>
      </x:c>
      <x:c r="K293" s="11" t="n">
        <x:v>445</x:v>
      </x:c>
      <x:c r="L293" s="11" t="n">
        <x:v>10</x:v>
      </x:c>
      <x:c r="M293" s="11" t="n">
        <x:v>4014</x:v>
      </x:c>
      <x:c r="N293" s="11" t="n">
        <x:v>4027</x:v>
      </x:c>
      <x:c r="O293" s="11" t="n">
        <x:v>3846</x:v>
      </x:c>
      <x:c r="P293" s="11" t="n">
        <x:v>181</x:v>
      </x:c>
    </x:row>
    <x:row r="294">
      <x:c r="A294" s="11" t="n">
        <x:v>293</x:v>
      </x:c>
      <x:c r="B294" s="11" t="str">
        <x:v>2026-08-09</x:v>
      </x:c>
      <x:c r="C294" s="11" t="str">
        <x:v>L1</x:v>
      </x:c>
      <x:c r="D294" s="11" t="str">
        <x:v>Envasado A</x:v>
      </x:c>
      <x:c r="E294" s="11" t="str">
        <x:v>Matutino</x:v>
      </x:c>
      <x:c r="F294" s="11" t="str">
        <x:v>P003</x:v>
      </x:c>
      <x:c r="G294" s="11" t="str">
        <x:v>Producto Gamma</x:v>
      </x:c>
      <x:c r="H294" s="11" t="n">
        <x:v>480</x:v>
      </x:c>
      <x:c r="I294" s="11" t="n">
        <x:v>27</x:v>
      </x:c>
      <x:c r="J294" s="11" t="n">
        <x:v>15</x:v>
      </x:c>
      <x:c r="K294" s="11" t="n">
        <x:v>438</x:v>
      </x:c>
      <x:c r="L294" s="11" t="n">
        <x:v>8</x:v>
      </x:c>
      <x:c r="M294" s="11" t="n">
        <x:v>3261</x:v>
      </x:c>
      <x:c r="N294" s="11" t="n">
        <x:v>3078</x:v>
      </x:c>
      <x:c r="O294" s="11" t="n">
        <x:v>2964</x:v>
      </x:c>
      <x:c r="P294" s="11" t="n">
        <x:v>114</x:v>
      </x:c>
    </x:row>
    <x:row r="295">
      <x:c r="A295" s="11" t="n">
        <x:v>294</x:v>
      </x:c>
      <x:c r="B295" s="11" t="str">
        <x:v>2026-08-09</x:v>
      </x:c>
      <x:c r="C295" s="11" t="str">
        <x:v>L1</x:v>
      </x:c>
      <x:c r="D295" s="11" t="str">
        <x:v>Envasado A</x:v>
      </x:c>
      <x:c r="E295" s="11" t="str">
        <x:v>Vespertino</x:v>
      </x:c>
      <x:c r="F295" s="11" t="str">
        <x:v>P003</x:v>
      </x:c>
      <x:c r="G295" s="11" t="str">
        <x:v>Producto Gamma</x:v>
      </x:c>
      <x:c r="H295" s="11" t="n">
        <x:v>480</x:v>
      </x:c>
      <x:c r="I295" s="11" t="n">
        <x:v>31</x:v>
      </x:c>
      <x:c r="J295" s="11" t="n">
        <x:v>52</x:v>
      </x:c>
      <x:c r="K295" s="11" t="n">
        <x:v>397</x:v>
      </x:c>
      <x:c r="L295" s="11" t="n">
        <x:v>8</x:v>
      </x:c>
      <x:c r="M295" s="11" t="n">
        <x:v>3232</x:v>
      </x:c>
      <x:c r="N295" s="11" t="n">
        <x:v>3067</x:v>
      </x:c>
      <x:c r="O295" s="11" t="n">
        <x:v>2944</x:v>
      </x:c>
      <x:c r="P295" s="11" t="n">
        <x:v>123</x:v>
      </x:c>
    </x:row>
    <x:row r="296">
      <x:c r="A296" s="11" t="n">
        <x:v>295</x:v>
      </x:c>
      <x:c r="B296" s="11" t="str">
        <x:v>2026-08-09</x:v>
      </x:c>
      <x:c r="C296" s="11" t="str">
        <x:v>L2</x:v>
      </x:c>
      <x:c r="D296" s="11" t="str">
        <x:v>Envasado B</x:v>
      </x:c>
      <x:c r="E296" s="11" t="str">
        <x:v>Matutino</x:v>
      </x:c>
      <x:c r="F296" s="11" t="str">
        <x:v>P003</x:v>
      </x:c>
      <x:c r="G296" s="11" t="str">
        <x:v>Producto Gamma</x:v>
      </x:c>
      <x:c r="H296" s="11" t="n">
        <x:v>480</x:v>
      </x:c>
      <x:c r="I296" s="11" t="n">
        <x:v>26</x:v>
      </x:c>
      <x:c r="J296" s="11" t="n">
        <x:v>46</x:v>
      </x:c>
      <x:c r="K296" s="11" t="n">
        <x:v>408</x:v>
      </x:c>
      <x:c r="L296" s="11" t="n">
        <x:v>7.5</x:v>
      </x:c>
      <x:c r="M296" s="11" t="n">
        <x:v>3064</x:v>
      </x:c>
      <x:c r="N296" s="11" t="n">
        <x:v>2798</x:v>
      </x:c>
      <x:c r="O296" s="11" t="n">
        <x:v>2687</x:v>
      </x:c>
      <x:c r="P296" s="11" t="n">
        <x:v>111</x:v>
      </x:c>
    </x:row>
    <x:row r="297">
      <x:c r="A297" s="11" t="n">
        <x:v>296</x:v>
      </x:c>
      <x:c r="B297" s="11" t="str">
        <x:v>2026-08-09</x:v>
      </x:c>
      <x:c r="C297" s="11" t="str">
        <x:v>L2</x:v>
      </x:c>
      <x:c r="D297" s="11" t="str">
        <x:v>Envasado B</x:v>
      </x:c>
      <x:c r="E297" s="11" t="str">
        <x:v>Vespertino</x:v>
      </x:c>
      <x:c r="F297" s="11" t="str">
        <x:v>P002</x:v>
      </x:c>
      <x:c r="G297" s="11" t="str">
        <x:v>Producto Beta</x:v>
      </x:c>
      <x:c r="H297" s="11" t="n">
        <x:v>480</x:v>
      </x:c>
      <x:c r="I297" s="11" t="n">
        <x:v>21</x:v>
      </x:c>
      <x:c r="J297" s="11" t="n">
        <x:v>21</x:v>
      </x:c>
      <x:c r="K297" s="11" t="n">
        <x:v>438</x:v>
      </x:c>
      <x:c r="L297" s="11" t="n">
        <x:v>7.5</x:v>
      </x:c>
      <x:c r="M297" s="11" t="n">
        <x:v>3098</x:v>
      </x:c>
      <x:c r="N297" s="11" t="n">
        <x:v>3001</x:v>
      </x:c>
      <x:c r="O297" s="11" t="n">
        <x:v>2840</x:v>
      </x:c>
      <x:c r="P297" s="11" t="n">
        <x:v>161</x:v>
      </x:c>
    </x:row>
    <x:row r="298">
      <x:c r="A298" s="11" t="n">
        <x:v>297</x:v>
      </x:c>
      <x:c r="B298" s="11" t="str">
        <x:v>2026-08-10</x:v>
      </x:c>
      <x:c r="C298" s="11" t="str">
        <x:v>L1</x:v>
      </x:c>
      <x:c r="D298" s="11" t="str">
        <x:v>Envasado A</x:v>
      </x:c>
      <x:c r="E298" s="11" t="str">
        <x:v>Matutino</x:v>
      </x:c>
      <x:c r="F298" s="11" t="str">
        <x:v>P001</x:v>
      </x:c>
      <x:c r="G298" s="11" t="str">
        <x:v>Producto Alfa</x:v>
      </x:c>
      <x:c r="H298" s="11" t="n">
        <x:v>480</x:v>
      </x:c>
      <x:c r="I298" s="11" t="n">
        <x:v>24</x:v>
      </x:c>
      <x:c r="J298" s="11" t="n">
        <x:v>33</x:v>
      </x:c>
      <x:c r="K298" s="11" t="n">
        <x:v>423</x:v>
      </x:c>
      <x:c r="L298" s="11" t="n">
        <x:v>8</x:v>
      </x:c>
      <x:c r="M298" s="11" t="n">
        <x:v>3283</x:v>
      </x:c>
      <x:c r="N298" s="11" t="n">
        <x:v>3021</x:v>
      </x:c>
      <x:c r="O298" s="11" t="n">
        <x:v>2909</x:v>
      </x:c>
      <x:c r="P298" s="11" t="n">
        <x:v>112</x:v>
      </x:c>
    </x:row>
    <x:row r="299">
      <x:c r="A299" s="11" t="n">
        <x:v>298</x:v>
      </x:c>
      <x:c r="B299" s="11" t="str">
        <x:v>2026-08-10</x:v>
      </x:c>
      <x:c r="C299" s="11" t="str">
        <x:v>L1</x:v>
      </x:c>
      <x:c r="D299" s="11" t="str">
        <x:v>Envasado A</x:v>
      </x:c>
      <x:c r="E299" s="11" t="str">
        <x:v>Vespertino</x:v>
      </x:c>
      <x:c r="F299" s="11" t="str">
        <x:v>P003</x:v>
      </x:c>
      <x:c r="G299" s="11" t="str">
        <x:v>Producto Gamma</x:v>
      </x:c>
      <x:c r="H299" s="11" t="n">
        <x:v>480</x:v>
      </x:c>
      <x:c r="I299" s="11" t="n">
        <x:v>16</x:v>
      </x:c>
      <x:c r="J299" s="11" t="n">
        <x:v>0</x:v>
      </x:c>
      <x:c r="K299" s="11" t="n">
        <x:v>464</x:v>
      </x:c>
      <x:c r="L299" s="11" t="n">
        <x:v>8</x:v>
      </x:c>
      <x:c r="M299" s="11" t="n">
        <x:v>3340</x:v>
      </x:c>
      <x:c r="N299" s="11" t="n">
        <x:v>3198</x:v>
      </x:c>
      <x:c r="O299" s="11" t="n">
        <x:v>2971</x:v>
      </x:c>
      <x:c r="P299" s="11" t="n">
        <x:v>227</x:v>
      </x:c>
    </x:row>
    <x:row r="300">
      <x:c r="A300" s="11" t="n">
        <x:v>299</x:v>
      </x:c>
      <x:c r="B300" s="11" t="str">
        <x:v>2026-08-10</x:v>
      </x:c>
      <x:c r="C300" s="11" t="str">
        <x:v>L2</x:v>
      </x:c>
      <x:c r="D300" s="11" t="str">
        <x:v>Envasado B</x:v>
      </x:c>
      <x:c r="E300" s="11" t="str">
        <x:v>Matutino</x:v>
      </x:c>
      <x:c r="F300" s="11" t="str">
        <x:v>P003</x:v>
      </x:c>
      <x:c r="G300" s="11" t="str">
        <x:v>Producto Gamma</x:v>
      </x:c>
      <x:c r="H300" s="11" t="n">
        <x:v>480</x:v>
      </x:c>
      <x:c r="I300" s="11" t="n">
        <x:v>19</x:v>
      </x:c>
      <x:c r="J300" s="11" t="n">
        <x:v>17</x:v>
      </x:c>
      <x:c r="K300" s="11" t="n">
        <x:v>444</x:v>
      </x:c>
      <x:c r="L300" s="11" t="n">
        <x:v>7.5</x:v>
      </x:c>
      <x:c r="M300" s="11" t="n">
        <x:v>3111</x:v>
      </x:c>
      <x:c r="N300" s="11" t="n">
        <x:v>2980</x:v>
      </x:c>
      <x:c r="O300" s="11" t="n">
        <x:v>2854</x:v>
      </x:c>
      <x:c r="P300" s="11" t="n">
        <x:v>126</x:v>
      </x:c>
    </x:row>
    <x:row r="301">
      <x:c r="A301" s="11" t="n">
        <x:v>300</x:v>
      </x:c>
      <x:c r="B301" s="11" t="str">
        <x:v>2026-08-10</x:v>
      </x:c>
      <x:c r="C301" s="11" t="str">
        <x:v>L2</x:v>
      </x:c>
      <x:c r="D301" s="11" t="str">
        <x:v>Envasado B</x:v>
      </x:c>
      <x:c r="E301" s="11" t="str">
        <x:v>Vespertino</x:v>
      </x:c>
      <x:c r="F301" s="11" t="str">
        <x:v>P003</x:v>
      </x:c>
      <x:c r="G301" s="11" t="str">
        <x:v>Producto Gamma</x:v>
      </x:c>
      <x:c r="H301" s="11" t="n">
        <x:v>480</x:v>
      </x:c>
      <x:c r="I301" s="11" t="n">
        <x:v>20</x:v>
      </x:c>
      <x:c r="J301" s="11" t="n">
        <x:v>58</x:v>
      </x:c>
      <x:c r="K301" s="11" t="n">
        <x:v>402</x:v>
      </x:c>
      <x:c r="L301" s="11" t="n">
        <x:v>7.5</x:v>
      </x:c>
      <x:c r="M301" s="11" t="n">
        <x:v>3105</x:v>
      </x:c>
      <x:c r="N301" s="11" t="n">
        <x:v>2736</x:v>
      </x:c>
      <x:c r="O301" s="11" t="n">
        <x:v>2589</x:v>
      </x:c>
      <x:c r="P301" s="11" t="n">
        <x:v>147</x:v>
      </x:c>
    </x:row>
    <x:row r="302">
      <x:c r="A302" s="11" t="n">
        <x:v>301</x:v>
      </x:c>
      <x:c r="B302" s="11" t="str">
        <x:v>2026-08-10</x:v>
      </x:c>
      <x:c r="C302" s="11" t="str">
        <x:v>L3</x:v>
      </x:c>
      <x:c r="D302" s="11" t="str">
        <x:v>Empaque</x:v>
      </x:c>
      <x:c r="E302" s="11" t="str">
        <x:v>Matutino</x:v>
      </x:c>
      <x:c r="F302" s="11" t="str">
        <x:v>P002</x:v>
      </x:c>
      <x:c r="G302" s="11" t="str">
        <x:v>Producto Beta</x:v>
      </x:c>
      <x:c r="H302" s="11" t="n">
        <x:v>480</x:v>
      </x:c>
      <x:c r="I302" s="11" t="n">
        <x:v>22</x:v>
      </x:c>
      <x:c r="J302" s="11" t="n">
        <x:v>57</x:v>
      </x:c>
      <x:c r="K302" s="11" t="n">
        <x:v>401</x:v>
      </x:c>
      <x:c r="L302" s="11" t="n">
        <x:v>8.67</x:v>
      </x:c>
      <x:c r="M302" s="11" t="n">
        <x:v>3572</x:v>
      </x:c>
      <x:c r="N302" s="11" t="n">
        <x:v>3121</x:v>
      </x:c>
      <x:c r="O302" s="11" t="n">
        <x:v>2934</x:v>
      </x:c>
      <x:c r="P302" s="11" t="n">
        <x:v>187</x:v>
      </x:c>
    </x:row>
    <x:row r="303">
      <x:c r="A303" s="11" t="n">
        <x:v>302</x:v>
      </x:c>
      <x:c r="B303" s="11" t="str">
        <x:v>2026-08-10</x:v>
      </x:c>
      <x:c r="C303" s="11" t="str">
        <x:v>L3</x:v>
      </x:c>
      <x:c r="D303" s="11" t="str">
        <x:v>Empaque</x:v>
      </x:c>
      <x:c r="E303" s="11" t="str">
        <x:v>Vespertino</x:v>
      </x:c>
      <x:c r="F303" s="11" t="str">
        <x:v>P001</x:v>
      </x:c>
      <x:c r="G303" s="11" t="str">
        <x:v>Producto Alfa</x:v>
      </x:c>
      <x:c r="H303" s="11" t="n">
        <x:v>480</x:v>
      </x:c>
      <x:c r="I303" s="11" t="n">
        <x:v>32</x:v>
      </x:c>
      <x:c r="J303" s="11" t="n">
        <x:v>0</x:v>
      </x:c>
      <x:c r="K303" s="11" t="n">
        <x:v>448</x:v>
      </x:c>
      <x:c r="L303" s="11" t="n">
        <x:v>8.67</x:v>
      </x:c>
      <x:c r="M303" s="11" t="n">
        <x:v>3494</x:v>
      </x:c>
      <x:c r="N303" s="11" t="n">
        <x:v>3564</x:v>
      </x:c>
      <x:c r="O303" s="11" t="n">
        <x:v>3532</x:v>
      </x:c>
      <x:c r="P303" s="11" t="n">
        <x:v>32</x:v>
      </x:c>
    </x:row>
    <x:row r="304">
      <x:c r="A304" s="11" t="n">
        <x:v>303</x:v>
      </x:c>
      <x:c r="B304" s="11" t="str">
        <x:v>2026-08-10</x:v>
      </x:c>
      <x:c r="C304" s="11" t="str">
        <x:v>L4</x:v>
      </x:c>
      <x:c r="D304" s="11" t="str">
        <x:v>Etiquetado</x:v>
      </x:c>
      <x:c r="E304" s="11" t="str">
        <x:v>Matutino</x:v>
      </x:c>
      <x:c r="F304" s="11" t="str">
        <x:v>P002</x:v>
      </x:c>
      <x:c r="G304" s="11" t="str">
        <x:v>Producto Beta</x:v>
      </x:c>
      <x:c r="H304" s="11" t="n">
        <x:v>480</x:v>
      </x:c>
      <x:c r="I304" s="11" t="n">
        <x:v>21</x:v>
      </x:c>
      <x:c r="J304" s="11" t="n">
        <x:v>0</x:v>
      </x:c>
      <x:c r="K304" s="11" t="n">
        <x:v>459</x:v>
      </x:c>
      <x:c r="L304" s="11" t="n">
        <x:v>10</x:v>
      </x:c>
      <x:c r="M304" s="11" t="n">
        <x:v>4131</x:v>
      </x:c>
      <x:c r="N304" s="11" t="n">
        <x:v>4546</x:v>
      </x:c>
      <x:c r="O304" s="11" t="n">
        <x:v>4333</x:v>
      </x:c>
      <x:c r="P304" s="11" t="n">
        <x:v>213</x:v>
      </x:c>
    </x:row>
    <x:row r="305">
      <x:c r="A305" s="11" t="n">
        <x:v>304</x:v>
      </x:c>
      <x:c r="B305" s="11" t="str">
        <x:v>2026-08-10</x:v>
      </x:c>
      <x:c r="C305" s="11" t="str">
        <x:v>L4</x:v>
      </x:c>
      <x:c r="D305" s="11" t="str">
        <x:v>Etiquetado</x:v>
      </x:c>
      <x:c r="E305" s="11" t="str">
        <x:v>Vespertino</x:v>
      </x:c>
      <x:c r="F305" s="11" t="str">
        <x:v>P002</x:v>
      </x:c>
      <x:c r="G305" s="11" t="str">
        <x:v>Producto Beta</x:v>
      </x:c>
      <x:c r="H305" s="11" t="n">
        <x:v>480</x:v>
      </x:c>
      <x:c r="I305" s="11" t="n">
        <x:v>27</x:v>
      </x:c>
      <x:c r="J305" s="11" t="n">
        <x:v>25</x:v>
      </x:c>
      <x:c r="K305" s="11" t="n">
        <x:v>428</x:v>
      </x:c>
      <x:c r="L305" s="11" t="n">
        <x:v>10</x:v>
      </x:c>
      <x:c r="M305" s="11" t="n">
        <x:v>4077</x:v>
      </x:c>
      <x:c r="N305" s="11" t="n">
        <x:v>3694</x:v>
      </x:c>
      <x:c r="O305" s="11" t="n">
        <x:v>3471</x:v>
      </x:c>
      <x:c r="P305" s="11" t="n">
        <x:v>223</x:v>
      </x:c>
    </x:row>
    <x:row r="306">
      <x:c r="A306" s="11" t="n">
        <x:v>305</x:v>
      </x:c>
      <x:c r="B306" s="11" t="str">
        <x:v>2026-08-11</x:v>
      </x:c>
      <x:c r="C306" s="11" t="str">
        <x:v>L1</x:v>
      </x:c>
      <x:c r="D306" s="11" t="str">
        <x:v>Envasado A</x:v>
      </x:c>
      <x:c r="E306" s="11" t="str">
        <x:v>Matutino</x:v>
      </x:c>
      <x:c r="F306" s="11" t="str">
        <x:v>P001</x:v>
      </x:c>
      <x:c r="G306" s="11" t="str">
        <x:v>Producto Alfa</x:v>
      </x:c>
      <x:c r="H306" s="11" t="n">
        <x:v>480</x:v>
      </x:c>
      <x:c r="I306" s="11" t="n">
        <x:v>21</x:v>
      </x:c>
      <x:c r="J306" s="11" t="n">
        <x:v>31</x:v>
      </x:c>
      <x:c r="K306" s="11" t="n">
        <x:v>428</x:v>
      </x:c>
      <x:c r="L306" s="11" t="n">
        <x:v>8</x:v>
      </x:c>
      <x:c r="M306" s="11" t="n">
        <x:v>3304</x:v>
      </x:c>
      <x:c r="N306" s="11" t="n">
        <x:v>3036</x:v>
      </x:c>
      <x:c r="O306" s="11" t="n">
        <x:v>2914</x:v>
      </x:c>
      <x:c r="P306" s="11" t="n">
        <x:v>122</x:v>
      </x:c>
    </x:row>
    <x:row r="307">
      <x:c r="A307" s="11" t="n">
        <x:v>306</x:v>
      </x:c>
      <x:c r="B307" s="11" t="str">
        <x:v>2026-08-11</x:v>
      </x:c>
      <x:c r="C307" s="11" t="str">
        <x:v>L1</x:v>
      </x:c>
      <x:c r="D307" s="11" t="str">
        <x:v>Envasado A</x:v>
      </x:c>
      <x:c r="E307" s="11" t="str">
        <x:v>Vespertino</x:v>
      </x:c>
      <x:c r="F307" s="11" t="str">
        <x:v>P002</x:v>
      </x:c>
      <x:c r="G307" s="11" t="str">
        <x:v>Producto Beta</x:v>
      </x:c>
      <x:c r="H307" s="11" t="n">
        <x:v>480</x:v>
      </x:c>
      <x:c r="I307" s="11" t="n">
        <x:v>32</x:v>
      </x:c>
      <x:c r="J307" s="11" t="n">
        <x:v>59</x:v>
      </x:c>
      <x:c r="K307" s="11" t="n">
        <x:v>389</x:v>
      </x:c>
      <x:c r="L307" s="11" t="n">
        <x:v>8</x:v>
      </x:c>
      <x:c r="M307" s="11" t="n">
        <x:v>3225</x:v>
      </x:c>
      <x:c r="N307" s="11" t="n">
        <x:v>3034</x:v>
      </x:c>
      <x:c r="O307" s="11" t="n">
        <x:v>2828</x:v>
      </x:c>
      <x:c r="P307" s="11" t="n">
        <x:v>206</x:v>
      </x:c>
    </x:row>
    <x:row r="308">
      <x:c r="A308" s="11" t="n">
        <x:v>307</x:v>
      </x:c>
      <x:c r="B308" s="11" t="str">
        <x:v>2026-08-11</x:v>
      </x:c>
      <x:c r="C308" s="11" t="str">
        <x:v>L2</x:v>
      </x:c>
      <x:c r="D308" s="11" t="str">
        <x:v>Envasado B</x:v>
      </x:c>
      <x:c r="E308" s="11" t="str">
        <x:v>Matutino</x:v>
      </x:c>
      <x:c r="F308" s="11" t="str">
        <x:v>P003</x:v>
      </x:c>
      <x:c r="G308" s="11" t="str">
        <x:v>Producto Gamma</x:v>
      </x:c>
      <x:c r="H308" s="11" t="n">
        <x:v>480</x:v>
      </x:c>
      <x:c r="I308" s="11" t="n">
        <x:v>18</x:v>
      </x:c>
      <x:c r="J308" s="11" t="n">
        <x:v>19</x:v>
      </x:c>
      <x:c r="K308" s="11" t="n">
        <x:v>443</x:v>
      </x:c>
      <x:c r="L308" s="11" t="n">
        <x:v>7.5</x:v>
      </x:c>
      <x:c r="M308" s="11" t="n">
        <x:v>3118</x:v>
      </x:c>
      <x:c r="N308" s="11" t="n">
        <x:v>3271</x:v>
      </x:c>
      <x:c r="O308" s="11" t="n">
        <x:v>3095</x:v>
      </x:c>
      <x:c r="P308" s="11" t="n">
        <x:v>176</x:v>
      </x:c>
    </x:row>
    <x:row r="309">
      <x:c r="A309" s="11" t="n">
        <x:v>308</x:v>
      </x:c>
      <x:c r="B309" s="11" t="str">
        <x:v>2026-08-11</x:v>
      </x:c>
      <x:c r="C309" s="11" t="str">
        <x:v>L2</x:v>
      </x:c>
      <x:c r="D309" s="11" t="str">
        <x:v>Envasado B</x:v>
      </x:c>
      <x:c r="E309" s="11" t="str">
        <x:v>Vespertino</x:v>
      </x:c>
      <x:c r="F309" s="11" t="str">
        <x:v>P001</x:v>
      </x:c>
      <x:c r="G309" s="11" t="str">
        <x:v>Producto Alfa</x:v>
      </x:c>
      <x:c r="H309" s="11" t="n">
        <x:v>480</x:v>
      </x:c>
      <x:c r="I309" s="11" t="n">
        <x:v>28</x:v>
      </x:c>
      <x:c r="J309" s="11" t="n">
        <x:v>75</x:v>
      </x:c>
      <x:c r="K309" s="11" t="n">
        <x:v>377</x:v>
      </x:c>
      <x:c r="L309" s="11" t="n">
        <x:v>7.5</x:v>
      </x:c>
      <x:c r="M309" s="11" t="n">
        <x:v>3051</x:v>
      </x:c>
      <x:c r="N309" s="11" t="n">
        <x:v>2807</x:v>
      </x:c>
      <x:c r="O309" s="11" t="n">
        <x:v>2735</x:v>
      </x:c>
      <x:c r="P309" s="11" t="n">
        <x:v>72</x:v>
      </x:c>
    </x:row>
    <x:row r="310">
      <x:c r="A310" s="11" t="n">
        <x:v>309</x:v>
      </x:c>
      <x:c r="B310" s="11" t="str">
        <x:v>2026-08-11</x:v>
      </x:c>
      <x:c r="C310" s="11" t="str">
        <x:v>L3</x:v>
      </x:c>
      <x:c r="D310" s="11" t="str">
        <x:v>Empaque</x:v>
      </x:c>
      <x:c r="E310" s="11" t="str">
        <x:v>Matutino</x:v>
      </x:c>
      <x:c r="F310" s="11" t="str">
        <x:v>P002</x:v>
      </x:c>
      <x:c r="G310" s="11" t="str">
        <x:v>Producto Beta</x:v>
      </x:c>
      <x:c r="H310" s="11" t="n">
        <x:v>480</x:v>
      </x:c>
      <x:c r="I310" s="11" t="n">
        <x:v>26</x:v>
      </x:c>
      <x:c r="J310" s="11" t="n">
        <x:v>48</x:v>
      </x:c>
      <x:c r="K310" s="11" t="n">
        <x:v>406</x:v>
      </x:c>
      <x:c r="L310" s="11" t="n">
        <x:v>8.67</x:v>
      </x:c>
      <x:c r="M310" s="11" t="n">
        <x:v>3541</x:v>
      </x:c>
      <x:c r="N310" s="11" t="n">
        <x:v>3132</x:v>
      </x:c>
      <x:c r="O310" s="11" t="n">
        <x:v>2915</x:v>
      </x:c>
      <x:c r="P310" s="11" t="n">
        <x:v>217</x:v>
      </x:c>
    </x:row>
    <x:row r="311">
      <x:c r="A311" s="11" t="n">
        <x:v>310</x:v>
      </x:c>
      <x:c r="B311" s="11" t="str">
        <x:v>2026-08-11</x:v>
      </x:c>
      <x:c r="C311" s="11" t="str">
        <x:v>L3</x:v>
      </x:c>
      <x:c r="D311" s="11" t="str">
        <x:v>Empaque</x:v>
      </x:c>
      <x:c r="E311" s="11" t="str">
        <x:v>Vespertino</x:v>
      </x:c>
      <x:c r="F311" s="11" t="str">
        <x:v>P002</x:v>
      </x:c>
      <x:c r="G311" s="11" t="str">
        <x:v>Producto Beta</x:v>
      </x:c>
      <x:c r="H311" s="11" t="n">
        <x:v>480</x:v>
      </x:c>
      <x:c r="I311" s="11" t="n">
        <x:v>17</x:v>
      </x:c>
      <x:c r="J311" s="11" t="n">
        <x:v>40</x:v>
      </x:c>
      <x:c r="K311" s="11" t="n">
        <x:v>423</x:v>
      </x:c>
      <x:c r="L311" s="11" t="n">
        <x:v>8.67</x:v>
      </x:c>
      <x:c r="M311" s="11" t="n">
        <x:v>3611</x:v>
      </x:c>
      <x:c r="N311" s="11" t="n">
        <x:v>3308</x:v>
      </x:c>
      <x:c r="O311" s="11" t="n">
        <x:v>3116</x:v>
      </x:c>
      <x:c r="P311" s="11" t="n">
        <x:v>192</x:v>
      </x:c>
    </x:row>
    <x:row r="312">
      <x:c r="A312" s="11" t="n">
        <x:v>311</x:v>
      </x:c>
      <x:c r="B312" s="11" t="str">
        <x:v>2026-08-11</x:v>
      </x:c>
      <x:c r="C312" s="11" t="str">
        <x:v>L4</x:v>
      </x:c>
      <x:c r="D312" s="11" t="str">
        <x:v>Etiquetado</x:v>
      </x:c>
      <x:c r="E312" s="11" t="str">
        <x:v>Matutino</x:v>
      </x:c>
      <x:c r="F312" s="11" t="str">
        <x:v>P001</x:v>
      </x:c>
      <x:c r="G312" s="11" t="str">
        <x:v>Producto Alfa</x:v>
      </x:c>
      <x:c r="H312" s="11" t="n">
        <x:v>480</x:v>
      </x:c>
      <x:c r="I312" s="11" t="n">
        <x:v>35</x:v>
      </x:c>
      <x:c r="J312" s="11" t="n">
        <x:v>21</x:v>
      </x:c>
      <x:c r="K312" s="11" t="n">
        <x:v>424</x:v>
      </x:c>
      <x:c r="L312" s="11" t="n">
        <x:v>10</x:v>
      </x:c>
      <x:c r="M312" s="11" t="n">
        <x:v>4005</x:v>
      </x:c>
      <x:c r="N312" s="11" t="n">
        <x:v>3950</x:v>
      </x:c>
      <x:c r="O312" s="11" t="n">
        <x:v>3894</x:v>
      </x:c>
      <x:c r="P312" s="11" t="n">
        <x:v>56</x:v>
      </x:c>
    </x:row>
    <x:row r="313">
      <x:c r="A313" s="11" t="n">
        <x:v>312</x:v>
      </x:c>
      <x:c r="B313" s="11" t="str">
        <x:v>2026-08-11</x:v>
      </x:c>
      <x:c r="C313" s="11" t="str">
        <x:v>L4</x:v>
      </x:c>
      <x:c r="D313" s="11" t="str">
        <x:v>Etiquetado</x:v>
      </x:c>
      <x:c r="E313" s="11" t="str">
        <x:v>Vespertino</x:v>
      </x:c>
      <x:c r="F313" s="11" t="str">
        <x:v>P002</x:v>
      </x:c>
      <x:c r="G313" s="11" t="str">
        <x:v>Producto Beta</x:v>
      </x:c>
      <x:c r="H313" s="11" t="n">
        <x:v>480</x:v>
      </x:c>
      <x:c r="I313" s="11" t="n">
        <x:v>19</x:v>
      </x:c>
      <x:c r="J313" s="11" t="n">
        <x:v>39</x:v>
      </x:c>
      <x:c r="K313" s="11" t="n">
        <x:v>422</x:v>
      </x:c>
      <x:c r="L313" s="11" t="n">
        <x:v>10</x:v>
      </x:c>
      <x:c r="M313" s="11" t="n">
        <x:v>4149</x:v>
      </x:c>
      <x:c r="N313" s="11" t="n">
        <x:v>3852</x:v>
      </x:c>
      <x:c r="O313" s="11" t="n">
        <x:v>3568</x:v>
      </x:c>
      <x:c r="P313" s="11" t="n">
        <x:v>284</x:v>
      </x:c>
    </x:row>
    <x:row r="314">
      <x:c r="A314" s="11" t="n">
        <x:v>313</x:v>
      </x:c>
      <x:c r="B314" s="11" t="str">
        <x:v>2026-08-12</x:v>
      </x:c>
      <x:c r="C314" s="11" t="str">
        <x:v>L1</x:v>
      </x:c>
      <x:c r="D314" s="11" t="str">
        <x:v>Envasado A</x:v>
      </x:c>
      <x:c r="E314" s="11" t="str">
        <x:v>Matutino</x:v>
      </x:c>
      <x:c r="F314" s="11" t="str">
        <x:v>P003</x:v>
      </x:c>
      <x:c r="G314" s="11" t="str">
        <x:v>Producto Gamma</x:v>
      </x:c>
      <x:c r="H314" s="11" t="n">
        <x:v>480</x:v>
      </x:c>
      <x:c r="I314" s="11" t="n">
        <x:v>15</x:v>
      </x:c>
      <x:c r="J314" s="11" t="n">
        <x:v>31</x:v>
      </x:c>
      <x:c r="K314" s="11" t="n">
        <x:v>434</x:v>
      </x:c>
      <x:c r="L314" s="11" t="n">
        <x:v>8</x:v>
      </x:c>
      <x:c r="M314" s="11" t="n">
        <x:v>3348</x:v>
      </x:c>
      <x:c r="N314" s="11" t="n">
        <x:v>3142</x:v>
      </x:c>
      <x:c r="O314" s="11" t="n">
        <x:v>2989</x:v>
      </x:c>
      <x:c r="P314" s="11" t="n">
        <x:v>153</x:v>
      </x:c>
    </x:row>
    <x:row r="315">
      <x:c r="A315" s="11" t="n">
        <x:v>314</x:v>
      </x:c>
      <x:c r="B315" s="11" t="str">
        <x:v>2026-08-12</x:v>
      </x:c>
      <x:c r="C315" s="11" t="str">
        <x:v>L1</x:v>
      </x:c>
      <x:c r="D315" s="11" t="str">
        <x:v>Envasado A</x:v>
      </x:c>
      <x:c r="E315" s="11" t="str">
        <x:v>Vespertino</x:v>
      </x:c>
      <x:c r="F315" s="11" t="str">
        <x:v>P003</x:v>
      </x:c>
      <x:c r="G315" s="11" t="str">
        <x:v>Producto Gamma</x:v>
      </x:c>
      <x:c r="H315" s="11" t="n">
        <x:v>480</x:v>
      </x:c>
      <x:c r="I315" s="11" t="n">
        <x:v>34</x:v>
      </x:c>
      <x:c r="J315" s="11" t="n">
        <x:v>40</x:v>
      </x:c>
      <x:c r="K315" s="11" t="n">
        <x:v>406</x:v>
      </x:c>
      <x:c r="L315" s="11" t="n">
        <x:v>8</x:v>
      </x:c>
      <x:c r="M315" s="11" t="n">
        <x:v>3211</x:v>
      </x:c>
      <x:c r="N315" s="11" t="n">
        <x:v>2885</x:v>
      </x:c>
      <x:c r="O315" s="11" t="n">
        <x:v>2737</x:v>
      </x:c>
      <x:c r="P315" s="11" t="n">
        <x:v>148</x:v>
      </x:c>
    </x:row>
    <x:row r="316">
      <x:c r="A316" s="11" t="n">
        <x:v>315</x:v>
      </x:c>
      <x:c r="B316" s="11" t="str">
        <x:v>2026-08-12</x:v>
      </x:c>
      <x:c r="C316" s="11" t="str">
        <x:v>L2</x:v>
      </x:c>
      <x:c r="D316" s="11" t="str">
        <x:v>Envasado B</x:v>
      </x:c>
      <x:c r="E316" s="11" t="str">
        <x:v>Matutino</x:v>
      </x:c>
      <x:c r="F316" s="11" t="str">
        <x:v>P002</x:v>
      </x:c>
      <x:c r="G316" s="11" t="str">
        <x:v>Producto Beta</x:v>
      </x:c>
      <x:c r="H316" s="11" t="n">
        <x:v>480</x:v>
      </x:c>
      <x:c r="I316" s="11" t="n">
        <x:v>22</x:v>
      </x:c>
      <x:c r="J316" s="11" t="n">
        <x:v>25</x:v>
      </x:c>
      <x:c r="K316" s="11" t="n">
        <x:v>433</x:v>
      </x:c>
      <x:c r="L316" s="11" t="n">
        <x:v>7.5</x:v>
      </x:c>
      <x:c r="M316" s="11" t="n">
        <x:v>3091</x:v>
      </x:c>
      <x:c r="N316" s="11" t="n">
        <x:v>2998</x:v>
      </x:c>
      <x:c r="O316" s="11" t="n">
        <x:v>2762</x:v>
      </x:c>
      <x:c r="P316" s="11" t="n">
        <x:v>236</x:v>
      </x:c>
    </x:row>
    <x:row r="317">
      <x:c r="A317" s="11" t="n">
        <x:v>316</x:v>
      </x:c>
      <x:c r="B317" s="11" t="str">
        <x:v>2026-08-12</x:v>
      </x:c>
      <x:c r="C317" s="11" t="str">
        <x:v>L2</x:v>
      </x:c>
      <x:c r="D317" s="11" t="str">
        <x:v>Envasado B</x:v>
      </x:c>
      <x:c r="E317" s="11" t="str">
        <x:v>Vespertino</x:v>
      </x:c>
      <x:c r="F317" s="11" t="str">
        <x:v>P002</x:v>
      </x:c>
      <x:c r="G317" s="11" t="str">
        <x:v>Producto Beta</x:v>
      </x:c>
      <x:c r="H317" s="11" t="n">
        <x:v>480</x:v>
      </x:c>
      <x:c r="I317" s="11" t="n">
        <x:v>17</x:v>
      </x:c>
      <x:c r="J317" s="11" t="n">
        <x:v>46</x:v>
      </x:c>
      <x:c r="K317" s="11" t="n">
        <x:v>417</x:v>
      </x:c>
      <x:c r="L317" s="11" t="n">
        <x:v>7.5</x:v>
      </x:c>
      <x:c r="M317" s="11" t="n">
        <x:v>3125</x:v>
      </x:c>
      <x:c r="N317" s="11" t="n">
        <x:v>3080</x:v>
      </x:c>
      <x:c r="O317" s="11" t="n">
        <x:v>2946</x:v>
      </x:c>
      <x:c r="P317" s="11" t="n">
        <x:v>134</x:v>
      </x:c>
    </x:row>
    <x:row r="318">
      <x:c r="A318" s="11" t="n">
        <x:v>317</x:v>
      </x:c>
      <x:c r="B318" s="11" t="str">
        <x:v>2026-08-12</x:v>
      </x:c>
      <x:c r="C318" s="11" t="str">
        <x:v>L3</x:v>
      </x:c>
      <x:c r="D318" s="11" t="str">
        <x:v>Empaque</x:v>
      </x:c>
      <x:c r="E318" s="11" t="str">
        <x:v>Matutino</x:v>
      </x:c>
      <x:c r="F318" s="11" t="str">
        <x:v>P003</x:v>
      </x:c>
      <x:c r="G318" s="11" t="str">
        <x:v>Producto Gamma</x:v>
      </x:c>
      <x:c r="H318" s="11" t="n">
        <x:v>480</x:v>
      </x:c>
      <x:c r="I318" s="11" t="n">
        <x:v>32</x:v>
      </x:c>
      <x:c r="J318" s="11" t="n">
        <x:v>54</x:v>
      </x:c>
      <x:c r="K318" s="11" t="n">
        <x:v>394</x:v>
      </x:c>
      <x:c r="L318" s="11" t="n">
        <x:v>8.67</x:v>
      </x:c>
      <x:c r="M318" s="11" t="n">
        <x:v>3494</x:v>
      </x:c>
      <x:c r="N318" s="11" t="n">
        <x:v>3126</x:v>
      </x:c>
      <x:c r="O318" s="11" t="n">
        <x:v>2970</x:v>
      </x:c>
      <x:c r="P318" s="11" t="n">
        <x:v>156</x:v>
      </x:c>
    </x:row>
    <x:row r="319">
      <x:c r="A319" s="11" t="n">
        <x:v>318</x:v>
      </x:c>
      <x:c r="B319" s="11" t="str">
        <x:v>2026-08-12</x:v>
      </x:c>
      <x:c r="C319" s="11" t="str">
        <x:v>L3</x:v>
      </x:c>
      <x:c r="D319" s="11" t="str">
        <x:v>Empaque</x:v>
      </x:c>
      <x:c r="E319" s="11" t="str">
        <x:v>Vespertino</x:v>
      </x:c>
      <x:c r="F319" s="11" t="str">
        <x:v>P002</x:v>
      </x:c>
      <x:c r="G319" s="11" t="str">
        <x:v>Producto Beta</x:v>
      </x:c>
      <x:c r="H319" s="11" t="n">
        <x:v>480</x:v>
      </x:c>
      <x:c r="I319" s="11" t="n">
        <x:v>15</x:v>
      </x:c>
      <x:c r="J319" s="11" t="n">
        <x:v>40</x:v>
      </x:c>
      <x:c r="K319" s="11" t="n">
        <x:v>425</x:v>
      </x:c>
      <x:c r="L319" s="11" t="n">
        <x:v>8.67</x:v>
      </x:c>
      <x:c r="M319" s="11" t="n">
        <x:v>3626</x:v>
      </x:c>
      <x:c r="N319" s="11" t="n">
        <x:v>3259</x:v>
      </x:c>
      <x:c r="O319" s="11" t="n">
        <x:v>3044</x:v>
      </x:c>
      <x:c r="P319" s="11" t="n">
        <x:v>215</x:v>
      </x:c>
    </x:row>
    <x:row r="320">
      <x:c r="A320" s="11" t="n">
        <x:v>319</x:v>
      </x:c>
      <x:c r="B320" s="11" t="str">
        <x:v>2026-08-12</x:v>
      </x:c>
      <x:c r="C320" s="11" t="str">
        <x:v>L4</x:v>
      </x:c>
      <x:c r="D320" s="11" t="str">
        <x:v>Etiquetado</x:v>
      </x:c>
      <x:c r="E320" s="11" t="str">
        <x:v>Matutino</x:v>
      </x:c>
      <x:c r="F320" s="11" t="str">
        <x:v>P002</x:v>
      </x:c>
      <x:c r="G320" s="11" t="str">
        <x:v>Producto Beta</x:v>
      </x:c>
      <x:c r="H320" s="11" t="n">
        <x:v>480</x:v>
      </x:c>
      <x:c r="I320" s="11" t="n">
        <x:v>20</x:v>
      </x:c>
      <x:c r="J320" s="11" t="n">
        <x:v>23</x:v>
      </x:c>
      <x:c r="K320" s="11" t="n">
        <x:v>437</x:v>
      </x:c>
      <x:c r="L320" s="11" t="n">
        <x:v>10</x:v>
      </x:c>
      <x:c r="M320" s="11" t="n">
        <x:v>4140</x:v>
      </x:c>
      <x:c r="N320" s="11" t="n">
        <x:v>3905</x:v>
      </x:c>
      <x:c r="O320" s="11" t="n">
        <x:v>3688</x:v>
      </x:c>
      <x:c r="P320" s="11" t="n">
        <x:v>217</x:v>
      </x:c>
    </x:row>
    <x:row r="321">
      <x:c r="A321" s="11" t="n">
        <x:v>320</x:v>
      </x:c>
      <x:c r="B321" s="11" t="str">
        <x:v>2026-08-12</x:v>
      </x:c>
      <x:c r="C321" s="11" t="str">
        <x:v>L4</x:v>
      </x:c>
      <x:c r="D321" s="11" t="str">
        <x:v>Etiquetado</x:v>
      </x:c>
      <x:c r="E321" s="11" t="str">
        <x:v>Vespertino</x:v>
      </x:c>
      <x:c r="F321" s="11" t="str">
        <x:v>P003</x:v>
      </x:c>
      <x:c r="G321" s="11" t="str">
        <x:v>Producto Gamma</x:v>
      </x:c>
      <x:c r="H321" s="11" t="n">
        <x:v>480</x:v>
      </x:c>
      <x:c r="I321" s="11" t="n">
        <x:v>32</x:v>
      </x:c>
      <x:c r="J321" s="11" t="n">
        <x:v>26</x:v>
      </x:c>
      <x:c r="K321" s="11" t="n">
        <x:v>422</x:v>
      </x:c>
      <x:c r="L321" s="11" t="n">
        <x:v>10</x:v>
      </x:c>
      <x:c r="M321" s="11" t="n">
        <x:v>4032</x:v>
      </x:c>
      <x:c r="N321" s="11" t="n">
        <x:v>3274</x:v>
      </x:c>
      <x:c r="O321" s="11" t="n">
        <x:v>3104</x:v>
      </x:c>
      <x:c r="P321" s="11" t="n">
        <x:v>170</x:v>
      </x:c>
    </x:row>
    <x:row r="322">
      <x:c r="A322" s="11" t="n">
        <x:v>321</x:v>
      </x:c>
      <x:c r="B322" s="11" t="str">
        <x:v>2026-08-13</x:v>
      </x:c>
      <x:c r="C322" s="11" t="str">
        <x:v>L1</x:v>
      </x:c>
      <x:c r="D322" s="11" t="str">
        <x:v>Envasado A</x:v>
      </x:c>
      <x:c r="E322" s="11" t="str">
        <x:v>Matutino</x:v>
      </x:c>
      <x:c r="F322" s="11" t="str">
        <x:v>P003</x:v>
      </x:c>
      <x:c r="G322" s="11" t="str">
        <x:v>Producto Gamma</x:v>
      </x:c>
      <x:c r="H322" s="11" t="n">
        <x:v>480</x:v>
      </x:c>
      <x:c r="I322" s="11" t="n">
        <x:v>15</x:v>
      </x:c>
      <x:c r="J322" s="11" t="n">
        <x:v>8</x:v>
      </x:c>
      <x:c r="K322" s="11" t="n">
        <x:v>457</x:v>
      </x:c>
      <x:c r="L322" s="11" t="n">
        <x:v>8</x:v>
      </x:c>
      <x:c r="M322" s="11" t="n">
        <x:v>3348</x:v>
      </x:c>
      <x:c r="N322" s="11" t="n">
        <x:v>3444</x:v>
      </x:c>
      <x:c r="O322" s="11" t="n">
        <x:v>3195</x:v>
      </x:c>
      <x:c r="P322" s="11" t="n">
        <x:v>249</x:v>
      </x:c>
    </x:row>
    <x:row r="323">
      <x:c r="A323" s="11" t="n">
        <x:v>322</x:v>
      </x:c>
      <x:c r="B323" s="11" t="str">
        <x:v>2026-08-13</x:v>
      </x:c>
      <x:c r="C323" s="11" t="str">
        <x:v>L1</x:v>
      </x:c>
      <x:c r="D323" s="11" t="str">
        <x:v>Envasado A</x:v>
      </x:c>
      <x:c r="E323" s="11" t="str">
        <x:v>Vespertino</x:v>
      </x:c>
      <x:c r="F323" s="11" t="str">
        <x:v>P002</x:v>
      </x:c>
      <x:c r="G323" s="11" t="str">
        <x:v>Producto Beta</x:v>
      </x:c>
      <x:c r="H323" s="11" t="n">
        <x:v>480</x:v>
      </x:c>
      <x:c r="I323" s="11" t="n">
        <x:v>15</x:v>
      </x:c>
      <x:c r="J323" s="11" t="n">
        <x:v>0</x:v>
      </x:c>
      <x:c r="K323" s="11" t="n">
        <x:v>465</x:v>
      </x:c>
      <x:c r="L323" s="11" t="n">
        <x:v>8</x:v>
      </x:c>
      <x:c r="M323" s="11" t="n">
        <x:v>3348</x:v>
      </x:c>
      <x:c r="N323" s="11" t="n">
        <x:v>3346</x:v>
      </x:c>
      <x:c r="O323" s="11" t="n">
        <x:v>3156</x:v>
      </x:c>
      <x:c r="P323" s="11" t="n">
        <x:v>190</x:v>
      </x:c>
    </x:row>
    <x:row r="324">
      <x:c r="A324" s="11" t="n">
        <x:v>323</x:v>
      </x:c>
      <x:c r="B324" s="11" t="str">
        <x:v>2026-08-13</x:v>
      </x:c>
      <x:c r="C324" s="11" t="str">
        <x:v>L2</x:v>
      </x:c>
      <x:c r="D324" s="11" t="str">
        <x:v>Envasado B</x:v>
      </x:c>
      <x:c r="E324" s="11" t="str">
        <x:v>Matutino</x:v>
      </x:c>
      <x:c r="F324" s="11" t="str">
        <x:v>P001</x:v>
      </x:c>
      <x:c r="G324" s="11" t="str">
        <x:v>Producto Alfa</x:v>
      </x:c>
      <x:c r="H324" s="11" t="n">
        <x:v>480</x:v>
      </x:c>
      <x:c r="I324" s="11" t="n">
        <x:v>35</x:v>
      </x:c>
      <x:c r="J324" s="11" t="n">
        <x:v>51</x:v>
      </x:c>
      <x:c r="K324" s="11" t="n">
        <x:v>394</x:v>
      </x:c>
      <x:c r="L324" s="11" t="n">
        <x:v>7.5</x:v>
      </x:c>
      <x:c r="M324" s="11" t="n">
        <x:v>3003</x:v>
      </x:c>
      <x:c r="N324" s="11" t="n">
        <x:v>2795</x:v>
      </x:c>
      <x:c r="O324" s="11" t="n">
        <x:v>2683</x:v>
      </x:c>
      <x:c r="P324" s="11" t="n">
        <x:v>112</x:v>
      </x:c>
    </x:row>
    <x:row r="325">
      <x:c r="A325" s="11" t="n">
        <x:v>324</x:v>
      </x:c>
      <x:c r="B325" s="11" t="str">
        <x:v>2026-08-13</x:v>
      </x:c>
      <x:c r="C325" s="11" t="str">
        <x:v>L2</x:v>
      </x:c>
      <x:c r="D325" s="11" t="str">
        <x:v>Envasado B</x:v>
      </x:c>
      <x:c r="E325" s="11" t="str">
        <x:v>Vespertino</x:v>
      </x:c>
      <x:c r="F325" s="11" t="str">
        <x:v>P002</x:v>
      </x:c>
      <x:c r="G325" s="11" t="str">
        <x:v>Producto Beta</x:v>
      </x:c>
      <x:c r="H325" s="11" t="n">
        <x:v>480</x:v>
      </x:c>
      <x:c r="I325" s="11" t="n">
        <x:v>32</x:v>
      </x:c>
      <x:c r="J325" s="11" t="n">
        <x:v>16</x:v>
      </x:c>
      <x:c r="K325" s="11" t="n">
        <x:v>432</x:v>
      </x:c>
      <x:c r="L325" s="11" t="n">
        <x:v>7.5</x:v>
      </x:c>
      <x:c r="M325" s="11" t="n">
        <x:v>3024</x:v>
      </x:c>
      <x:c r="N325" s="11" t="n">
        <x:v>2837</x:v>
      </x:c>
      <x:c r="O325" s="11" t="n">
        <x:v>2708</x:v>
      </x:c>
      <x:c r="P325" s="11" t="n">
        <x:v>129</x:v>
      </x:c>
    </x:row>
    <x:row r="326">
      <x:c r="A326" s="11" t="n">
        <x:v>325</x:v>
      </x:c>
      <x:c r="B326" s="11" t="str">
        <x:v>2026-08-13</x:v>
      </x:c>
      <x:c r="C326" s="11" t="str">
        <x:v>L3</x:v>
      </x:c>
      <x:c r="D326" s="11" t="str">
        <x:v>Empaque</x:v>
      </x:c>
      <x:c r="E326" s="11" t="str">
        <x:v>Matutino</x:v>
      </x:c>
      <x:c r="F326" s="11" t="str">
        <x:v>P003</x:v>
      </x:c>
      <x:c r="G326" s="11" t="str">
        <x:v>Producto Gamma</x:v>
      </x:c>
      <x:c r="H326" s="11" t="n">
        <x:v>480</x:v>
      </x:c>
      <x:c r="I326" s="11" t="n">
        <x:v>29</x:v>
      </x:c>
      <x:c r="J326" s="11" t="n">
        <x:v>52</x:v>
      </x:c>
      <x:c r="K326" s="11" t="n">
        <x:v>399</x:v>
      </x:c>
      <x:c r="L326" s="11" t="n">
        <x:v>8.67</x:v>
      </x:c>
      <x:c r="M326" s="11" t="n">
        <x:v>3517</x:v>
      </x:c>
      <x:c r="N326" s="11" t="n">
        <x:v>3125</x:v>
      </x:c>
      <x:c r="O326" s="11" t="n">
        <x:v>2977</x:v>
      </x:c>
      <x:c r="P326" s="11" t="n">
        <x:v>148</x:v>
      </x:c>
    </x:row>
    <x:row r="327">
      <x:c r="A327" s="11" t="n">
        <x:v>326</x:v>
      </x:c>
      <x:c r="B327" s="11" t="str">
        <x:v>2026-08-13</x:v>
      </x:c>
      <x:c r="C327" s="11" t="str">
        <x:v>L3</x:v>
      </x:c>
      <x:c r="D327" s="11" t="str">
        <x:v>Empaque</x:v>
      </x:c>
      <x:c r="E327" s="11" t="str">
        <x:v>Vespertino</x:v>
      </x:c>
      <x:c r="F327" s="11" t="str">
        <x:v>P003</x:v>
      </x:c>
      <x:c r="G327" s="11" t="str">
        <x:v>Producto Gamma</x:v>
      </x:c>
      <x:c r="H327" s="11" t="n">
        <x:v>480</x:v>
      </x:c>
      <x:c r="I327" s="11" t="n">
        <x:v>29</x:v>
      </x:c>
      <x:c r="J327" s="11" t="n">
        <x:v>38</x:v>
      </x:c>
      <x:c r="K327" s="11" t="n">
        <x:v>413</x:v>
      </x:c>
      <x:c r="L327" s="11" t="n">
        <x:v>8.67</x:v>
      </x:c>
      <x:c r="M327" s="11" t="n">
        <x:v>3517</x:v>
      </x:c>
      <x:c r="N327" s="11" t="n">
        <x:v>3362</x:v>
      </x:c>
      <x:c r="O327" s="11" t="n">
        <x:v>3200</x:v>
      </x:c>
      <x:c r="P327" s="11" t="n">
        <x:v>162</x:v>
      </x:c>
    </x:row>
    <x:row r="328">
      <x:c r="A328" s="11" t="n">
        <x:v>327</x:v>
      </x:c>
      <x:c r="B328" s="11" t="str">
        <x:v>2026-08-13</x:v>
      </x:c>
      <x:c r="C328" s="11" t="str">
        <x:v>L4</x:v>
      </x:c>
      <x:c r="D328" s="11" t="str">
        <x:v>Etiquetado</x:v>
      </x:c>
      <x:c r="E328" s="11" t="str">
        <x:v>Matutino</x:v>
      </x:c>
      <x:c r="F328" s="11" t="str">
        <x:v>P001</x:v>
      </x:c>
      <x:c r="G328" s="11" t="str">
        <x:v>Producto Alfa</x:v>
      </x:c>
      <x:c r="H328" s="11" t="n">
        <x:v>480</x:v>
      </x:c>
      <x:c r="I328" s="11" t="n">
        <x:v>16</x:v>
      </x:c>
      <x:c r="J328" s="11" t="n">
        <x:v>20</x:v>
      </x:c>
      <x:c r="K328" s="11" t="n">
        <x:v>444</x:v>
      </x:c>
      <x:c r="L328" s="11" t="n">
        <x:v>10</x:v>
      </x:c>
      <x:c r="M328" s="11" t="n">
        <x:v>4176</x:v>
      </x:c>
      <x:c r="N328" s="11" t="n">
        <x:v>4198</x:v>
      </x:c>
      <x:c r="O328" s="11" t="n">
        <x:v>3955</x:v>
      </x:c>
      <x:c r="P328" s="11" t="n">
        <x:v>243</x:v>
      </x:c>
    </x:row>
    <x:row r="329">
      <x:c r="A329" s="11" t="n">
        <x:v>328</x:v>
      </x:c>
      <x:c r="B329" s="11" t="str">
        <x:v>2026-08-13</x:v>
      </x:c>
      <x:c r="C329" s="11" t="str">
        <x:v>L4</x:v>
      </x:c>
      <x:c r="D329" s="11" t="str">
        <x:v>Etiquetado</x:v>
      </x:c>
      <x:c r="E329" s="11" t="str">
        <x:v>Vespertino</x:v>
      </x:c>
      <x:c r="F329" s="11" t="str">
        <x:v>P002</x:v>
      </x:c>
      <x:c r="G329" s="11" t="str">
        <x:v>Producto Beta</x:v>
      </x:c>
      <x:c r="H329" s="11" t="n">
        <x:v>480</x:v>
      </x:c>
      <x:c r="I329" s="11" t="n">
        <x:v>23</x:v>
      </x:c>
      <x:c r="J329" s="11" t="n">
        <x:v>52</x:v>
      </x:c>
      <x:c r="K329" s="11" t="n">
        <x:v>405</x:v>
      </x:c>
      <x:c r="L329" s="11" t="n">
        <x:v>10</x:v>
      </x:c>
      <x:c r="M329" s="11" t="n">
        <x:v>4113</x:v>
      </x:c>
      <x:c r="N329" s="11" t="n">
        <x:v>3941</x:v>
      </x:c>
      <x:c r="O329" s="11" t="n">
        <x:v>3720</x:v>
      </x:c>
      <x:c r="P329" s="11" t="n">
        <x:v>221</x:v>
      </x:c>
    </x:row>
    <x:row r="330">
      <x:c r="A330" s="11" t="n">
        <x:v>329</x:v>
      </x:c>
      <x:c r="B330" s="11" t="str">
        <x:v>2026-08-14</x:v>
      </x:c>
      <x:c r="C330" s="11" t="str">
        <x:v>L1</x:v>
      </x:c>
      <x:c r="D330" s="11" t="str">
        <x:v>Envasado A</x:v>
      </x:c>
      <x:c r="E330" s="11" t="str">
        <x:v>Matutino</x:v>
      </x:c>
      <x:c r="F330" s="11" t="str">
        <x:v>P002</x:v>
      </x:c>
      <x:c r="G330" s="11" t="str">
        <x:v>Producto Beta</x:v>
      </x:c>
      <x:c r="H330" s="11" t="n">
        <x:v>480</x:v>
      </x:c>
      <x:c r="I330" s="11" t="n">
        <x:v>26</x:v>
      </x:c>
      <x:c r="J330" s="11" t="n">
        <x:v>32</x:v>
      </x:c>
      <x:c r="K330" s="11" t="n">
        <x:v>422</x:v>
      </x:c>
      <x:c r="L330" s="11" t="n">
        <x:v>8</x:v>
      </x:c>
      <x:c r="M330" s="11" t="n">
        <x:v>3268</x:v>
      </x:c>
      <x:c r="N330" s="11" t="n">
        <x:v>3035</x:v>
      </x:c>
      <x:c r="O330" s="11" t="n">
        <x:v>2836</x:v>
      </x:c>
      <x:c r="P330" s="11" t="n">
        <x:v>199</x:v>
      </x:c>
    </x:row>
    <x:row r="331">
      <x:c r="A331" s="11" t="n">
        <x:v>330</x:v>
      </x:c>
      <x:c r="B331" s="11" t="str">
        <x:v>2026-08-14</x:v>
      </x:c>
      <x:c r="C331" s="11" t="str">
        <x:v>L1</x:v>
      </x:c>
      <x:c r="D331" s="11" t="str">
        <x:v>Envasado A</x:v>
      </x:c>
      <x:c r="E331" s="11" t="str">
        <x:v>Vespertino</x:v>
      </x:c>
      <x:c r="F331" s="11" t="str">
        <x:v>P002</x:v>
      </x:c>
      <x:c r="G331" s="11" t="str">
        <x:v>Producto Beta</x:v>
      </x:c>
      <x:c r="H331" s="11" t="n">
        <x:v>480</x:v>
      </x:c>
      <x:c r="I331" s="11" t="n">
        <x:v>28</x:v>
      </x:c>
      <x:c r="J331" s="11" t="n">
        <x:v>13</x:v>
      </x:c>
      <x:c r="K331" s="11" t="n">
        <x:v>439</x:v>
      </x:c>
      <x:c r="L331" s="11" t="n">
        <x:v>8</x:v>
      </x:c>
      <x:c r="M331" s="11" t="n">
        <x:v>3254</x:v>
      </x:c>
      <x:c r="N331" s="11" t="n">
        <x:v>3396</x:v>
      </x:c>
      <x:c r="O331" s="11" t="n">
        <x:v>3149</x:v>
      </x:c>
      <x:c r="P331" s="11" t="n">
        <x:v>247</x:v>
      </x:c>
    </x:row>
    <x:row r="332">
      <x:c r="A332" s="11" t="n">
        <x:v>331</x:v>
      </x:c>
      <x:c r="B332" s="11" t="str">
        <x:v>2026-08-14</x:v>
      </x:c>
      <x:c r="C332" s="11" t="str">
        <x:v>L2</x:v>
      </x:c>
      <x:c r="D332" s="11" t="str">
        <x:v>Envasado B</x:v>
      </x:c>
      <x:c r="E332" s="11" t="str">
        <x:v>Matutino</x:v>
      </x:c>
      <x:c r="F332" s="11" t="str">
        <x:v>P002</x:v>
      </x:c>
      <x:c r="G332" s="11" t="str">
        <x:v>Producto Beta</x:v>
      </x:c>
      <x:c r="H332" s="11" t="n">
        <x:v>480</x:v>
      </x:c>
      <x:c r="I332" s="11" t="n">
        <x:v>25</x:v>
      </x:c>
      <x:c r="J332" s="11" t="n">
        <x:v>53</x:v>
      </x:c>
      <x:c r="K332" s="11" t="n">
        <x:v>402</x:v>
      </x:c>
      <x:c r="L332" s="11" t="n">
        <x:v>7.5</x:v>
      </x:c>
      <x:c r="M332" s="11" t="n">
        <x:v>3071</x:v>
      </x:c>
      <x:c r="N332" s="11" t="n">
        <x:v>2717</x:v>
      </x:c>
      <x:c r="O332" s="11" t="n">
        <x:v>2479</x:v>
      </x:c>
      <x:c r="P332" s="11" t="n">
        <x:v>238</x:v>
      </x:c>
    </x:row>
    <x:row r="333">
      <x:c r="A333" s="11" t="n">
        <x:v>332</x:v>
      </x:c>
      <x:c r="B333" s="11" t="str">
        <x:v>2026-08-14</x:v>
      </x:c>
      <x:c r="C333" s="11" t="str">
        <x:v>L2</x:v>
      </x:c>
      <x:c r="D333" s="11" t="str">
        <x:v>Envasado B</x:v>
      </x:c>
      <x:c r="E333" s="11" t="str">
        <x:v>Vespertino</x:v>
      </x:c>
      <x:c r="F333" s="11" t="str">
        <x:v>P003</x:v>
      </x:c>
      <x:c r="G333" s="11" t="str">
        <x:v>Producto Gamma</x:v>
      </x:c>
      <x:c r="H333" s="11" t="n">
        <x:v>480</x:v>
      </x:c>
      <x:c r="I333" s="11" t="n">
        <x:v>23</x:v>
      </x:c>
      <x:c r="J333" s="11" t="n">
        <x:v>28</x:v>
      </x:c>
      <x:c r="K333" s="11" t="n">
        <x:v>429</x:v>
      </x:c>
      <x:c r="L333" s="11" t="n">
        <x:v>7.5</x:v>
      </x:c>
      <x:c r="M333" s="11" t="n">
        <x:v>3084</x:v>
      </x:c>
      <x:c r="N333" s="11" t="n">
        <x:v>3001</x:v>
      </x:c>
      <x:c r="O333" s="11" t="n">
        <x:v>2795</x:v>
      </x:c>
      <x:c r="P333" s="11" t="n">
        <x:v>206</x:v>
      </x:c>
    </x:row>
    <x:row r="334">
      <x:c r="A334" s="11" t="n">
        <x:v>333</x:v>
      </x:c>
      <x:c r="B334" s="11" t="str">
        <x:v>2026-08-14</x:v>
      </x:c>
      <x:c r="C334" s="11" t="str">
        <x:v>L3</x:v>
      </x:c>
      <x:c r="D334" s="11" t="str">
        <x:v>Empaque</x:v>
      </x:c>
      <x:c r="E334" s="11" t="str">
        <x:v>Matutino</x:v>
      </x:c>
      <x:c r="F334" s="11" t="str">
        <x:v>P001</x:v>
      </x:c>
      <x:c r="G334" s="11" t="str">
        <x:v>Producto Alfa</x:v>
      </x:c>
      <x:c r="H334" s="11" t="n">
        <x:v>480</x:v>
      </x:c>
      <x:c r="I334" s="11" t="n">
        <x:v>28</x:v>
      </x:c>
      <x:c r="J334" s="11" t="n">
        <x:v>0</x:v>
      </x:c>
      <x:c r="K334" s="11" t="n">
        <x:v>452</x:v>
      </x:c>
      <x:c r="L334" s="11" t="n">
        <x:v>8.67</x:v>
      </x:c>
      <x:c r="M334" s="11" t="n">
        <x:v>3525</x:v>
      </x:c>
      <x:c r="N334" s="11" t="n">
        <x:v>3368</x:v>
      </x:c>
      <x:c r="O334" s="11" t="n">
        <x:v>3199</x:v>
      </x:c>
      <x:c r="P334" s="11" t="n">
        <x:v>169</x:v>
      </x:c>
    </x:row>
    <x:row r="335">
      <x:c r="A335" s="11" t="n">
        <x:v>334</x:v>
      </x:c>
      <x:c r="B335" s="11" t="str">
        <x:v>2026-08-14</x:v>
      </x:c>
      <x:c r="C335" s="11" t="str">
        <x:v>L3</x:v>
      </x:c>
      <x:c r="D335" s="11" t="str">
        <x:v>Empaque</x:v>
      </x:c>
      <x:c r="E335" s="11" t="str">
        <x:v>Vespertino</x:v>
      </x:c>
      <x:c r="F335" s="11" t="str">
        <x:v>P001</x:v>
      </x:c>
      <x:c r="G335" s="11" t="str">
        <x:v>Producto Alfa</x:v>
      </x:c>
      <x:c r="H335" s="11" t="n">
        <x:v>480</x:v>
      </x:c>
      <x:c r="I335" s="11" t="n">
        <x:v>25</x:v>
      </x:c>
      <x:c r="J335" s="11" t="n">
        <x:v>22</x:v>
      </x:c>
      <x:c r="K335" s="11" t="n">
        <x:v>433</x:v>
      </x:c>
      <x:c r="L335" s="11" t="n">
        <x:v>8.67</x:v>
      </x:c>
      <x:c r="M335" s="11" t="n">
        <x:v>3549</x:v>
      </x:c>
      <x:c r="N335" s="11" t="n">
        <x:v>3338</x:v>
      </x:c>
      <x:c r="O335" s="11" t="n">
        <x:v>3175</x:v>
      </x:c>
      <x:c r="P335" s="11" t="n">
        <x:v>163</x:v>
      </x:c>
    </x:row>
    <x:row r="336">
      <x:c r="A336" s="11" t="n">
        <x:v>335</x:v>
      </x:c>
      <x:c r="B336" s="11" t="str">
        <x:v>2026-08-14</x:v>
      </x:c>
      <x:c r="C336" s="11" t="str">
        <x:v>L4</x:v>
      </x:c>
      <x:c r="D336" s="11" t="str">
        <x:v>Etiquetado</x:v>
      </x:c>
      <x:c r="E336" s="11" t="str">
        <x:v>Matutino</x:v>
      </x:c>
      <x:c r="F336" s="11" t="str">
        <x:v>P003</x:v>
      </x:c>
      <x:c r="G336" s="11" t="str">
        <x:v>Producto Gamma</x:v>
      </x:c>
      <x:c r="H336" s="11" t="n">
        <x:v>480</x:v>
      </x:c>
      <x:c r="I336" s="11" t="n">
        <x:v>28</x:v>
      </x:c>
      <x:c r="J336" s="11" t="n">
        <x:v>39</x:v>
      </x:c>
      <x:c r="K336" s="11" t="n">
        <x:v>413</x:v>
      </x:c>
      <x:c r="L336" s="11" t="n">
        <x:v>10</x:v>
      </x:c>
      <x:c r="M336" s="11" t="n">
        <x:v>4068</x:v>
      </x:c>
      <x:c r="N336" s="11" t="n">
        <x:v>3932</x:v>
      </x:c>
      <x:c r="O336" s="11" t="n">
        <x:v>3663</x:v>
      </x:c>
      <x:c r="P336" s="11" t="n">
        <x:v>269</x:v>
      </x:c>
    </x:row>
    <x:row r="337">
      <x:c r="A337" s="11" t="n">
        <x:v>336</x:v>
      </x:c>
      <x:c r="B337" s="11" t="str">
        <x:v>2026-08-14</x:v>
      </x:c>
      <x:c r="C337" s="11" t="str">
        <x:v>L4</x:v>
      </x:c>
      <x:c r="D337" s="11" t="str">
        <x:v>Etiquetado</x:v>
      </x:c>
      <x:c r="E337" s="11" t="str">
        <x:v>Vespertino</x:v>
      </x:c>
      <x:c r="F337" s="11" t="str">
        <x:v>P002</x:v>
      </x:c>
      <x:c r="G337" s="11" t="str">
        <x:v>Producto Beta</x:v>
      </x:c>
      <x:c r="H337" s="11" t="n">
        <x:v>480</x:v>
      </x:c>
      <x:c r="I337" s="11" t="n">
        <x:v>34</x:v>
      </x:c>
      <x:c r="J337" s="11" t="n">
        <x:v>39</x:v>
      </x:c>
      <x:c r="K337" s="11" t="n">
        <x:v>407</x:v>
      </x:c>
      <x:c r="L337" s="11" t="n">
        <x:v>10</x:v>
      </x:c>
      <x:c r="M337" s="11" t="n">
        <x:v>4014</x:v>
      </x:c>
      <x:c r="N337" s="11" t="n">
        <x:v>3850</x:v>
      </x:c>
      <x:c r="O337" s="11" t="n">
        <x:v>3618</x:v>
      </x:c>
      <x:c r="P337" s="11" t="n">
        <x:v>232</x:v>
      </x:c>
    </x:row>
    <x:row r="338">
      <x:c r="A338" s="11" t="n">
        <x:v>337</x:v>
      </x:c>
      <x:c r="B338" s="11" t="str">
        <x:v>2026-08-15</x:v>
      </x:c>
      <x:c r="C338" s="11" t="str">
        <x:v>L1</x:v>
      </x:c>
      <x:c r="D338" s="11" t="str">
        <x:v>Envasado A</x:v>
      </x:c>
      <x:c r="E338" s="11" t="str">
        <x:v>Matutino</x:v>
      </x:c>
      <x:c r="F338" s="11" t="str">
        <x:v>P001</x:v>
      </x:c>
      <x:c r="G338" s="11" t="str">
        <x:v>Producto Alfa</x:v>
      </x:c>
      <x:c r="H338" s="11" t="n">
        <x:v>480</x:v>
      </x:c>
      <x:c r="I338" s="11" t="n">
        <x:v>17</x:v>
      </x:c>
      <x:c r="J338" s="11" t="n">
        <x:v>17</x:v>
      </x:c>
      <x:c r="K338" s="11" t="n">
        <x:v>446</x:v>
      </x:c>
      <x:c r="L338" s="11" t="n">
        <x:v>8</x:v>
      </x:c>
      <x:c r="M338" s="11" t="n">
        <x:v>3333</x:v>
      </x:c>
      <x:c r="N338" s="11" t="n">
        <x:v>3102</x:v>
      </x:c>
      <x:c r="O338" s="11" t="n">
        <x:v>2916</x:v>
      </x:c>
      <x:c r="P338" s="11" t="n">
        <x:v>186</x:v>
      </x:c>
    </x:row>
    <x:row r="339">
      <x:c r="A339" s="11" t="n">
        <x:v>338</x:v>
      </x:c>
      <x:c r="B339" s="11" t="str">
        <x:v>2026-08-15</x:v>
      </x:c>
      <x:c r="C339" s="11" t="str">
        <x:v>L1</x:v>
      </x:c>
      <x:c r="D339" s="11" t="str">
        <x:v>Envasado A</x:v>
      </x:c>
      <x:c r="E339" s="11" t="str">
        <x:v>Vespertino</x:v>
      </x:c>
      <x:c r="F339" s="11" t="str">
        <x:v>P001</x:v>
      </x:c>
      <x:c r="G339" s="11" t="str">
        <x:v>Producto Alfa</x:v>
      </x:c>
      <x:c r="H339" s="11" t="n">
        <x:v>480</x:v>
      </x:c>
      <x:c r="I339" s="11" t="n">
        <x:v>15</x:v>
      </x:c>
      <x:c r="J339" s="11" t="n">
        <x:v>24</x:v>
      </x:c>
      <x:c r="K339" s="11" t="n">
        <x:v>441</x:v>
      </x:c>
      <x:c r="L339" s="11" t="n">
        <x:v>8</x:v>
      </x:c>
      <x:c r="M339" s="11" t="n">
        <x:v>3348</x:v>
      </x:c>
      <x:c r="N339" s="11" t="n">
        <x:v>3345</x:v>
      </x:c>
      <x:c r="O339" s="11" t="n">
        <x:v>3254</x:v>
      </x:c>
      <x:c r="P339" s="11" t="n">
        <x:v>91</x:v>
      </x:c>
    </x:row>
    <x:row r="340">
      <x:c r="A340" s="11" t="n">
        <x:v>339</x:v>
      </x:c>
      <x:c r="B340" s="11" t="str">
        <x:v>2026-08-15</x:v>
      </x:c>
      <x:c r="C340" s="11" t="str">
        <x:v>L2</x:v>
      </x:c>
      <x:c r="D340" s="11" t="str">
        <x:v>Envasado B</x:v>
      </x:c>
      <x:c r="E340" s="11" t="str">
        <x:v>Matutino</x:v>
      </x:c>
      <x:c r="F340" s="11" t="str">
        <x:v>P002</x:v>
      </x:c>
      <x:c r="G340" s="11" t="str">
        <x:v>Producto Beta</x:v>
      </x:c>
      <x:c r="H340" s="11" t="n">
        <x:v>480</x:v>
      </x:c>
      <x:c r="I340" s="11" t="n">
        <x:v>16</x:v>
      </x:c>
      <x:c r="J340" s="11" t="n">
        <x:v>39</x:v>
      </x:c>
      <x:c r="K340" s="11" t="n">
        <x:v>425</x:v>
      </x:c>
      <x:c r="L340" s="11" t="n">
        <x:v>7.5</x:v>
      </x:c>
      <x:c r="M340" s="11" t="n">
        <x:v>3132</x:v>
      </x:c>
      <x:c r="N340" s="11" t="n">
        <x:v>2975</x:v>
      </x:c>
      <x:c r="O340" s="11" t="n">
        <x:v>2775</x:v>
      </x:c>
      <x:c r="P340" s="11" t="n">
        <x:v>200</x:v>
      </x:c>
    </x:row>
    <x:row r="341">
      <x:c r="A341" s="11" t="n">
        <x:v>340</x:v>
      </x:c>
      <x:c r="B341" s="11" t="str">
        <x:v>2026-08-15</x:v>
      </x:c>
      <x:c r="C341" s="11" t="str">
        <x:v>L2</x:v>
      </x:c>
      <x:c r="D341" s="11" t="str">
        <x:v>Envasado B</x:v>
      </x:c>
      <x:c r="E341" s="11" t="str">
        <x:v>Vespertino</x:v>
      </x:c>
      <x:c r="F341" s="11" t="str">
        <x:v>P003</x:v>
      </x:c>
      <x:c r="G341" s="11" t="str">
        <x:v>Producto Gamma</x:v>
      </x:c>
      <x:c r="H341" s="11" t="n">
        <x:v>480</x:v>
      </x:c>
      <x:c r="I341" s="11" t="n">
        <x:v>16</x:v>
      </x:c>
      <x:c r="J341" s="11" t="n">
        <x:v>11</x:v>
      </x:c>
      <x:c r="K341" s="11" t="n">
        <x:v>453</x:v>
      </x:c>
      <x:c r="L341" s="11" t="n">
        <x:v>7.5</x:v>
      </x:c>
      <x:c r="M341" s="11" t="n">
        <x:v>3132</x:v>
      </x:c>
      <x:c r="N341" s="11" t="n">
        <x:v>2909</x:v>
      </x:c>
      <x:c r="O341" s="11" t="n">
        <x:v>2731</x:v>
      </x:c>
      <x:c r="P341" s="11" t="n">
        <x:v>178</x:v>
      </x:c>
    </x:row>
    <x:row r="342">
      <x:c r="A342" s="11" t="n">
        <x:v>341</x:v>
      </x:c>
      <x:c r="B342" s="11" t="str">
        <x:v>2026-08-15</x:v>
      </x:c>
      <x:c r="C342" s="11" t="str">
        <x:v>L3</x:v>
      </x:c>
      <x:c r="D342" s="11" t="str">
        <x:v>Empaque</x:v>
      </x:c>
      <x:c r="E342" s="11" t="str">
        <x:v>Matutino</x:v>
      </x:c>
      <x:c r="F342" s="11" t="str">
        <x:v>P002</x:v>
      </x:c>
      <x:c r="G342" s="11" t="str">
        <x:v>Producto Beta</x:v>
      </x:c>
      <x:c r="H342" s="11" t="n">
        <x:v>480</x:v>
      </x:c>
      <x:c r="I342" s="11" t="n">
        <x:v>26</x:v>
      </x:c>
      <x:c r="J342" s="11" t="n">
        <x:v>19</x:v>
      </x:c>
      <x:c r="K342" s="11" t="n">
        <x:v>435</x:v>
      </x:c>
      <x:c r="L342" s="11" t="n">
        <x:v>8.67</x:v>
      </x:c>
      <x:c r="M342" s="11" t="n">
        <x:v>3541</x:v>
      </x:c>
      <x:c r="N342" s="11" t="n">
        <x:v>3454</x:v>
      </x:c>
      <x:c r="O342" s="11" t="n">
        <x:v>3272</x:v>
      </x:c>
      <x:c r="P342" s="11" t="n">
        <x:v>182</x:v>
      </x:c>
    </x:row>
    <x:row r="343">
      <x:c r="A343" s="11" t="n">
        <x:v>342</x:v>
      </x:c>
      <x:c r="B343" s="11" t="str">
        <x:v>2026-08-15</x:v>
      </x:c>
      <x:c r="C343" s="11" t="str">
        <x:v>L3</x:v>
      </x:c>
      <x:c r="D343" s="11" t="str">
        <x:v>Empaque</x:v>
      </x:c>
      <x:c r="E343" s="11" t="str">
        <x:v>Vespertino</x:v>
      </x:c>
      <x:c r="F343" s="11" t="str">
        <x:v>P002</x:v>
      </x:c>
      <x:c r="G343" s="11" t="str">
        <x:v>Producto Beta</x:v>
      </x:c>
      <x:c r="H343" s="11" t="n">
        <x:v>480</x:v>
      </x:c>
      <x:c r="I343" s="11" t="n">
        <x:v>35</x:v>
      </x:c>
      <x:c r="J343" s="11" t="n">
        <x:v>44</x:v>
      </x:c>
      <x:c r="K343" s="11" t="n">
        <x:v>401</x:v>
      </x:c>
      <x:c r="L343" s="11" t="n">
        <x:v>8.67</x:v>
      </x:c>
      <x:c r="M343" s="11" t="n">
        <x:v>3471</x:v>
      </x:c>
      <x:c r="N343" s="11" t="n">
        <x:v>3091</x:v>
      </x:c>
      <x:c r="O343" s="11" t="n">
        <x:v>2998</x:v>
      </x:c>
      <x:c r="P343" s="11" t="n">
        <x:v>93</x:v>
      </x:c>
    </x:row>
    <x:row r="344">
      <x:c r="A344" s="11" t="n">
        <x:v>343</x:v>
      </x:c>
      <x:c r="B344" s="11" t="str">
        <x:v>2026-08-15</x:v>
      </x:c>
      <x:c r="C344" s="11" t="str">
        <x:v>L4</x:v>
      </x:c>
      <x:c r="D344" s="11" t="str">
        <x:v>Etiquetado</x:v>
      </x:c>
      <x:c r="E344" s="11" t="str">
        <x:v>Matutino</x:v>
      </x:c>
      <x:c r="F344" s="11" t="str">
        <x:v>P001</x:v>
      </x:c>
      <x:c r="G344" s="11" t="str">
        <x:v>Producto Alfa</x:v>
      </x:c>
      <x:c r="H344" s="11" t="n">
        <x:v>480</x:v>
      </x:c>
      <x:c r="I344" s="11" t="n">
        <x:v>20</x:v>
      </x:c>
      <x:c r="J344" s="11" t="n">
        <x:v>6</x:v>
      </x:c>
      <x:c r="K344" s="11" t="n">
        <x:v>454</x:v>
      </x:c>
      <x:c r="L344" s="11" t="n">
        <x:v>10</x:v>
      </x:c>
      <x:c r="M344" s="11" t="n">
        <x:v>4140</x:v>
      </x:c>
      <x:c r="N344" s="11" t="n">
        <x:v>4132</x:v>
      </x:c>
      <x:c r="O344" s="11" t="n">
        <x:v>3930</x:v>
      </x:c>
      <x:c r="P344" s="11" t="n">
        <x:v>202</x:v>
      </x:c>
    </x:row>
    <x:row r="345">
      <x:c r="A345" s="11" t="n">
        <x:v>344</x:v>
      </x:c>
      <x:c r="B345" s="11" t="str">
        <x:v>2026-08-15</x:v>
      </x:c>
      <x:c r="C345" s="11" t="str">
        <x:v>L4</x:v>
      </x:c>
      <x:c r="D345" s="11" t="str">
        <x:v>Etiquetado</x:v>
      </x:c>
      <x:c r="E345" s="11" t="str">
        <x:v>Vespertino</x:v>
      </x:c>
      <x:c r="F345" s="11" t="str">
        <x:v>P002</x:v>
      </x:c>
      <x:c r="G345" s="11" t="str">
        <x:v>Producto Beta</x:v>
      </x:c>
      <x:c r="H345" s="11" t="n">
        <x:v>480</x:v>
      </x:c>
      <x:c r="I345" s="11" t="n">
        <x:v>29</x:v>
      </x:c>
      <x:c r="J345" s="11" t="n">
        <x:v>21</x:v>
      </x:c>
      <x:c r="K345" s="11" t="n">
        <x:v>430</x:v>
      </x:c>
      <x:c r="L345" s="11" t="n">
        <x:v>10</x:v>
      </x:c>
      <x:c r="M345" s="11" t="n">
        <x:v>4059</x:v>
      </x:c>
      <x:c r="N345" s="11" t="n">
        <x:v>3971</x:v>
      </x:c>
      <x:c r="O345" s="11" t="n">
        <x:v>3796</x:v>
      </x:c>
      <x:c r="P345" s="11" t="n">
        <x:v>175</x:v>
      </x:c>
    </x:row>
    <x:row r="346">
      <x:c r="A346" s="11" t="n">
        <x:v>345</x:v>
      </x:c>
      <x:c r="B346" s="11" t="str">
        <x:v>2026-08-16</x:v>
      </x:c>
      <x:c r="C346" s="11" t="str">
        <x:v>L1</x:v>
      </x:c>
      <x:c r="D346" s="11" t="str">
        <x:v>Envasado A</x:v>
      </x:c>
      <x:c r="E346" s="11" t="str">
        <x:v>Matutino</x:v>
      </x:c>
      <x:c r="F346" s="11" t="str">
        <x:v>P003</x:v>
      </x:c>
      <x:c r="G346" s="11" t="str">
        <x:v>Producto Gamma</x:v>
      </x:c>
      <x:c r="H346" s="11" t="n">
        <x:v>480</x:v>
      </x:c>
      <x:c r="I346" s="11" t="n">
        <x:v>30</x:v>
      </x:c>
      <x:c r="J346" s="11" t="n">
        <x:v>31</x:v>
      </x:c>
      <x:c r="K346" s="11" t="n">
        <x:v>419</x:v>
      </x:c>
      <x:c r="L346" s="11" t="n">
        <x:v>8</x:v>
      </x:c>
      <x:c r="M346" s="11" t="n">
        <x:v>3240</x:v>
      </x:c>
      <x:c r="N346" s="11" t="n">
        <x:v>3127</x:v>
      </x:c>
      <x:c r="O346" s="11" t="n">
        <x:v>2991</x:v>
      </x:c>
      <x:c r="P346" s="11" t="n">
        <x:v>136</x:v>
      </x:c>
    </x:row>
    <x:row r="347">
      <x:c r="A347" s="11" t="n">
        <x:v>346</x:v>
      </x:c>
      <x:c r="B347" s="11" t="str">
        <x:v>2026-08-16</x:v>
      </x:c>
      <x:c r="C347" s="11" t="str">
        <x:v>L1</x:v>
      </x:c>
      <x:c r="D347" s="11" t="str">
        <x:v>Envasado A</x:v>
      </x:c>
      <x:c r="E347" s="11" t="str">
        <x:v>Vespertino</x:v>
      </x:c>
      <x:c r="F347" s="11" t="str">
        <x:v>P003</x:v>
      </x:c>
      <x:c r="G347" s="11" t="str">
        <x:v>Producto Gamma</x:v>
      </x:c>
      <x:c r="H347" s="11" t="n">
        <x:v>480</x:v>
      </x:c>
      <x:c r="I347" s="11" t="n">
        <x:v>29</x:v>
      </x:c>
      <x:c r="J347" s="11" t="n">
        <x:v>34</x:v>
      </x:c>
      <x:c r="K347" s="11" t="n">
        <x:v>417</x:v>
      </x:c>
      <x:c r="L347" s="11" t="n">
        <x:v>8</x:v>
      </x:c>
      <x:c r="M347" s="11" t="n">
        <x:v>3247</x:v>
      </x:c>
      <x:c r="N347" s="11" t="n">
        <x:v>3309</x:v>
      </x:c>
      <x:c r="O347" s="11" t="n">
        <x:v>3142</x:v>
      </x:c>
      <x:c r="P347" s="11" t="n">
        <x:v>167</x:v>
      </x:c>
    </x:row>
    <x:row r="348">
      <x:c r="A348" s="11" t="n">
        <x:v>347</x:v>
      </x:c>
      <x:c r="B348" s="11" t="str">
        <x:v>2026-08-16</x:v>
      </x:c>
      <x:c r="C348" s="11" t="str">
        <x:v>L2</x:v>
      </x:c>
      <x:c r="D348" s="11" t="str">
        <x:v>Envasado B</x:v>
      </x:c>
      <x:c r="E348" s="11" t="str">
        <x:v>Matutino</x:v>
      </x:c>
      <x:c r="F348" s="11" t="str">
        <x:v>P002</x:v>
      </x:c>
      <x:c r="G348" s="11" t="str">
        <x:v>Producto Beta</x:v>
      </x:c>
      <x:c r="H348" s="11" t="n">
        <x:v>480</x:v>
      </x:c>
      <x:c r="I348" s="11" t="n">
        <x:v>26</x:v>
      </x:c>
      <x:c r="J348" s="11" t="n">
        <x:v>21</x:v>
      </x:c>
      <x:c r="K348" s="11" t="n">
        <x:v>433</x:v>
      </x:c>
      <x:c r="L348" s="11" t="n">
        <x:v>7.5</x:v>
      </x:c>
      <x:c r="M348" s="11" t="n">
        <x:v>3064</x:v>
      </x:c>
      <x:c r="N348" s="11" t="n">
        <x:v>2776</x:v>
      </x:c>
      <x:c r="O348" s="11" t="n">
        <x:v>2602</x:v>
      </x:c>
      <x:c r="P348" s="11" t="n">
        <x:v>174</x:v>
      </x:c>
    </x:row>
    <x:row r="349">
      <x:c r="A349" s="11" t="n">
        <x:v>348</x:v>
      </x:c>
      <x:c r="B349" s="11" t="str">
        <x:v>2026-08-16</x:v>
      </x:c>
      <x:c r="C349" s="11" t="str">
        <x:v>L2</x:v>
      </x:c>
      <x:c r="D349" s="11" t="str">
        <x:v>Envasado B</x:v>
      </x:c>
      <x:c r="E349" s="11" t="str">
        <x:v>Vespertino</x:v>
      </x:c>
      <x:c r="F349" s="11" t="str">
        <x:v>P001</x:v>
      </x:c>
      <x:c r="G349" s="11" t="str">
        <x:v>Producto Alfa</x:v>
      </x:c>
      <x:c r="H349" s="11" t="n">
        <x:v>480</x:v>
      </x:c>
      <x:c r="I349" s="11" t="n">
        <x:v>35</x:v>
      </x:c>
      <x:c r="J349" s="11" t="n">
        <x:v>45</x:v>
      </x:c>
      <x:c r="K349" s="11" t="n">
        <x:v>400</x:v>
      </x:c>
      <x:c r="L349" s="11" t="n">
        <x:v>7.5</x:v>
      </x:c>
      <x:c r="M349" s="11" t="n">
        <x:v>3003</x:v>
      </x:c>
      <x:c r="N349" s="11" t="n">
        <x:v>2788</x:v>
      </x:c>
      <x:c r="O349" s="11" t="n">
        <x:v>2704</x:v>
      </x:c>
      <x:c r="P349" s="11" t="n">
        <x:v>84</x:v>
      </x:c>
    </x:row>
    <x:row r="350">
      <x:c r="A350" s="11" t="n">
        <x:v>349</x:v>
      </x:c>
      <x:c r="B350" s="11" t="str">
        <x:v>2026-08-17</x:v>
      </x:c>
      <x:c r="C350" s="11" t="str">
        <x:v>L1</x:v>
      </x:c>
      <x:c r="D350" s="11" t="str">
        <x:v>Envasado A</x:v>
      </x:c>
      <x:c r="E350" s="11" t="str">
        <x:v>Matutino</x:v>
      </x:c>
      <x:c r="F350" s="11" t="str">
        <x:v>P001</x:v>
      </x:c>
      <x:c r="G350" s="11" t="str">
        <x:v>Producto Alfa</x:v>
      </x:c>
      <x:c r="H350" s="11" t="n">
        <x:v>480</x:v>
      </x:c>
      <x:c r="I350" s="11" t="n">
        <x:v>18</x:v>
      </x:c>
      <x:c r="J350" s="11" t="n">
        <x:v>66</x:v>
      </x:c>
      <x:c r="K350" s="11" t="n">
        <x:v>396</x:v>
      </x:c>
      <x:c r="L350" s="11" t="n">
        <x:v>8</x:v>
      </x:c>
      <x:c r="M350" s="11" t="n">
        <x:v>3326</x:v>
      </x:c>
      <x:c r="N350" s="11" t="n">
        <x:v>2859</x:v>
      </x:c>
      <x:c r="O350" s="11" t="n">
        <x:v>2747</x:v>
      </x:c>
      <x:c r="P350" s="11" t="n">
        <x:v>112</x:v>
      </x:c>
    </x:row>
    <x:row r="351">
      <x:c r="A351" s="11" t="n">
        <x:v>350</x:v>
      </x:c>
      <x:c r="B351" s="11" t="str">
        <x:v>2026-08-17</x:v>
      </x:c>
      <x:c r="C351" s="11" t="str">
        <x:v>L1</x:v>
      </x:c>
      <x:c r="D351" s="11" t="str">
        <x:v>Envasado A</x:v>
      </x:c>
      <x:c r="E351" s="11" t="str">
        <x:v>Vespertino</x:v>
      </x:c>
      <x:c r="F351" s="11" t="str">
        <x:v>P002</x:v>
      </x:c>
      <x:c r="G351" s="11" t="str">
        <x:v>Producto Beta</x:v>
      </x:c>
      <x:c r="H351" s="11" t="n">
        <x:v>480</x:v>
      </x:c>
      <x:c r="I351" s="11" t="n">
        <x:v>32</x:v>
      </x:c>
      <x:c r="J351" s="11" t="n">
        <x:v>53</x:v>
      </x:c>
      <x:c r="K351" s="11" t="n">
        <x:v>395</x:v>
      </x:c>
      <x:c r="L351" s="11" t="n">
        <x:v>8</x:v>
      </x:c>
      <x:c r="M351" s="11" t="n">
        <x:v>3225</x:v>
      </x:c>
      <x:c r="N351" s="11" t="n">
        <x:v>2732</x:v>
      </x:c>
      <x:c r="O351" s="11" t="n">
        <x:v>2551</x:v>
      </x:c>
      <x:c r="P351" s="11" t="n">
        <x:v>181</x:v>
      </x:c>
    </x:row>
    <x:row r="352">
      <x:c r="A352" s="11" t="n">
        <x:v>351</x:v>
      </x:c>
      <x:c r="B352" s="11" t="str">
        <x:v>2026-08-17</x:v>
      </x:c>
      <x:c r="C352" s="11" t="str">
        <x:v>L2</x:v>
      </x:c>
      <x:c r="D352" s="11" t="str">
        <x:v>Envasado B</x:v>
      </x:c>
      <x:c r="E352" s="11" t="str">
        <x:v>Matutino</x:v>
      </x:c>
      <x:c r="F352" s="11" t="str">
        <x:v>P003</x:v>
      </x:c>
      <x:c r="G352" s="11" t="str">
        <x:v>Producto Gamma</x:v>
      </x:c>
      <x:c r="H352" s="11" t="n">
        <x:v>480</x:v>
      </x:c>
      <x:c r="I352" s="11" t="n">
        <x:v>19</x:v>
      </x:c>
      <x:c r="J352" s="11" t="n">
        <x:v>20</x:v>
      </x:c>
      <x:c r="K352" s="11" t="n">
        <x:v>441</x:v>
      </x:c>
      <x:c r="L352" s="11" t="n">
        <x:v>7.5</x:v>
      </x:c>
      <x:c r="M352" s="11" t="n">
        <x:v>3111</x:v>
      </x:c>
      <x:c r="N352" s="11" t="n">
        <x:v>2968</x:v>
      </x:c>
      <x:c r="O352" s="11" t="n">
        <x:v>2768</x:v>
      </x:c>
      <x:c r="P352" s="11" t="n">
        <x:v>200</x:v>
      </x:c>
    </x:row>
    <x:row r="353">
      <x:c r="A353" s="11" t="n">
        <x:v>352</x:v>
      </x:c>
      <x:c r="B353" s="11" t="str">
        <x:v>2026-08-17</x:v>
      </x:c>
      <x:c r="C353" s="11" t="str">
        <x:v>L2</x:v>
      </x:c>
      <x:c r="D353" s="11" t="str">
        <x:v>Envasado B</x:v>
      </x:c>
      <x:c r="E353" s="11" t="str">
        <x:v>Vespertino</x:v>
      </x:c>
      <x:c r="F353" s="11" t="str">
        <x:v>P003</x:v>
      </x:c>
      <x:c r="G353" s="11" t="str">
        <x:v>Producto Gamma</x:v>
      </x:c>
      <x:c r="H353" s="11" t="n">
        <x:v>480</x:v>
      </x:c>
      <x:c r="I353" s="11" t="n">
        <x:v>30</x:v>
      </x:c>
      <x:c r="J353" s="11" t="n">
        <x:v>108</x:v>
      </x:c>
      <x:c r="K353" s="11" t="n">
        <x:v>342</x:v>
      </x:c>
      <x:c r="L353" s="11" t="n">
        <x:v>7.5</x:v>
      </x:c>
      <x:c r="M353" s="11" t="n">
        <x:v>3037</x:v>
      </x:c>
      <x:c r="N353" s="11" t="n">
        <x:v>2139</x:v>
      </x:c>
      <x:c r="O353" s="11" t="n">
        <x:v>2024</x:v>
      </x:c>
      <x:c r="P353" s="11" t="n">
        <x:v>115</x:v>
      </x:c>
    </x:row>
    <x:row r="354">
      <x:c r="A354" s="11" t="n">
        <x:v>353</x:v>
      </x:c>
      <x:c r="B354" s="11" t="str">
        <x:v>2026-08-17</x:v>
      </x:c>
      <x:c r="C354" s="11" t="str">
        <x:v>L3</x:v>
      </x:c>
      <x:c r="D354" s="11" t="str">
        <x:v>Empaque</x:v>
      </x:c>
      <x:c r="E354" s="11" t="str">
        <x:v>Matutino</x:v>
      </x:c>
      <x:c r="F354" s="11" t="str">
        <x:v>P003</x:v>
      </x:c>
      <x:c r="G354" s="11" t="str">
        <x:v>Producto Gamma</x:v>
      </x:c>
      <x:c r="H354" s="11" t="n">
        <x:v>480</x:v>
      </x:c>
      <x:c r="I354" s="11" t="n">
        <x:v>17</x:v>
      </x:c>
      <x:c r="J354" s="11" t="n">
        <x:v>41</x:v>
      </x:c>
      <x:c r="K354" s="11" t="n">
        <x:v>422</x:v>
      </x:c>
      <x:c r="L354" s="11" t="n">
        <x:v>8.67</x:v>
      </x:c>
      <x:c r="M354" s="11" t="n">
        <x:v>3611</x:v>
      </x:c>
      <x:c r="N354" s="11" t="n">
        <x:v>3430</x:v>
      </x:c>
      <x:c r="O354" s="11" t="n">
        <x:v>3299</x:v>
      </x:c>
      <x:c r="P354" s="11" t="n">
        <x:v>131</x:v>
      </x:c>
    </x:row>
    <x:row r="355">
      <x:c r="A355" s="11" t="n">
        <x:v>354</x:v>
      </x:c>
      <x:c r="B355" s="11" t="str">
        <x:v>2026-08-17</x:v>
      </x:c>
      <x:c r="C355" s="11" t="str">
        <x:v>L3</x:v>
      </x:c>
      <x:c r="D355" s="11" t="str">
        <x:v>Empaque</x:v>
      </x:c>
      <x:c r="E355" s="11" t="str">
        <x:v>Vespertino</x:v>
      </x:c>
      <x:c r="F355" s="11" t="str">
        <x:v>P003</x:v>
      </x:c>
      <x:c r="G355" s="11" t="str">
        <x:v>Producto Gamma</x:v>
      </x:c>
      <x:c r="H355" s="11" t="n">
        <x:v>480</x:v>
      </x:c>
      <x:c r="I355" s="11" t="n">
        <x:v>26</x:v>
      </x:c>
      <x:c r="J355" s="11" t="n">
        <x:v>39</x:v>
      </x:c>
      <x:c r="K355" s="11" t="n">
        <x:v>415</x:v>
      </x:c>
      <x:c r="L355" s="11" t="n">
        <x:v>8.67</x:v>
      </x:c>
      <x:c r="M355" s="11" t="n">
        <x:v>3541</x:v>
      </x:c>
      <x:c r="N355" s="11" t="n">
        <x:v>3483</x:v>
      </x:c>
      <x:c r="O355" s="11" t="n">
        <x:v>3365</x:v>
      </x:c>
      <x:c r="P355" s="11" t="n">
        <x:v>118</x:v>
      </x:c>
    </x:row>
    <x:row r="356">
      <x:c r="A356" s="11" t="n">
        <x:v>355</x:v>
      </x:c>
      <x:c r="B356" s="11" t="str">
        <x:v>2026-08-17</x:v>
      </x:c>
      <x:c r="C356" s="11" t="str">
        <x:v>L4</x:v>
      </x:c>
      <x:c r="D356" s="11" t="str">
        <x:v>Etiquetado</x:v>
      </x:c>
      <x:c r="E356" s="11" t="str">
        <x:v>Matutino</x:v>
      </x:c>
      <x:c r="F356" s="11" t="str">
        <x:v>P003</x:v>
      </x:c>
      <x:c r="G356" s="11" t="str">
        <x:v>Producto Gamma</x:v>
      </x:c>
      <x:c r="H356" s="11" t="n">
        <x:v>480</x:v>
      </x:c>
      <x:c r="I356" s="11" t="n">
        <x:v>35</x:v>
      </x:c>
      <x:c r="J356" s="11" t="n">
        <x:v>0</x:v>
      </x:c>
      <x:c r="K356" s="11" t="n">
        <x:v>445</x:v>
      </x:c>
      <x:c r="L356" s="11" t="n">
        <x:v>10</x:v>
      </x:c>
      <x:c r="M356" s="11" t="n">
        <x:v>4005</x:v>
      </x:c>
      <x:c r="N356" s="11" t="n">
        <x:v>3870</x:v>
      </x:c>
      <x:c r="O356" s="11" t="n">
        <x:v>3714</x:v>
      </x:c>
      <x:c r="P356" s="11" t="n">
        <x:v>156</x:v>
      </x:c>
    </x:row>
    <x:row r="357">
      <x:c r="A357" s="11" t="n">
        <x:v>356</x:v>
      </x:c>
      <x:c r="B357" s="11" t="str">
        <x:v>2026-08-17</x:v>
      </x:c>
      <x:c r="C357" s="11" t="str">
        <x:v>L4</x:v>
      </x:c>
      <x:c r="D357" s="11" t="str">
        <x:v>Etiquetado</x:v>
      </x:c>
      <x:c r="E357" s="11" t="str">
        <x:v>Vespertino</x:v>
      </x:c>
      <x:c r="F357" s="11" t="str">
        <x:v>P001</x:v>
      </x:c>
      <x:c r="G357" s="11" t="str">
        <x:v>Producto Alfa</x:v>
      </x:c>
      <x:c r="H357" s="11" t="n">
        <x:v>480</x:v>
      </x:c>
      <x:c r="I357" s="11" t="n">
        <x:v>18</x:v>
      </x:c>
      <x:c r="J357" s="11" t="n">
        <x:v>46</x:v>
      </x:c>
      <x:c r="K357" s="11" t="n">
        <x:v>416</x:v>
      </x:c>
      <x:c r="L357" s="11" t="n">
        <x:v>10</x:v>
      </x:c>
      <x:c r="M357" s="11" t="n">
        <x:v>4158</x:v>
      </x:c>
      <x:c r="N357" s="11" t="n">
        <x:v>3627</x:v>
      </x:c>
      <x:c r="O357" s="11" t="n">
        <x:v>3477</x:v>
      </x:c>
      <x:c r="P357" s="11" t="n">
        <x:v>150</x:v>
      </x:c>
    </x:row>
    <x:row r="358">
      <x:c r="A358" s="11" t="n">
        <x:v>357</x:v>
      </x:c>
      <x:c r="B358" s="11" t="str">
        <x:v>2026-08-18</x:v>
      </x:c>
      <x:c r="C358" s="11" t="str">
        <x:v>L1</x:v>
      </x:c>
      <x:c r="D358" s="11" t="str">
        <x:v>Envasado A</x:v>
      </x:c>
      <x:c r="E358" s="11" t="str">
        <x:v>Matutino</x:v>
      </x:c>
      <x:c r="F358" s="11" t="str">
        <x:v>P001</x:v>
      </x:c>
      <x:c r="G358" s="11" t="str">
        <x:v>Producto Alfa</x:v>
      </x:c>
      <x:c r="H358" s="11" t="n">
        <x:v>480</x:v>
      </x:c>
      <x:c r="I358" s="11" t="n">
        <x:v>25</x:v>
      </x:c>
      <x:c r="J358" s="11" t="n">
        <x:v>42</x:v>
      </x:c>
      <x:c r="K358" s="11" t="n">
        <x:v>413</x:v>
      </x:c>
      <x:c r="L358" s="11" t="n">
        <x:v>8</x:v>
      </x:c>
      <x:c r="M358" s="11" t="n">
        <x:v>3276</x:v>
      </x:c>
      <x:c r="N358" s="11" t="n">
        <x:v>2964</x:v>
      </x:c>
      <x:c r="O358" s="11" t="n">
        <x:v>2886</x:v>
      </x:c>
      <x:c r="P358" s="11" t="n">
        <x:v>78</x:v>
      </x:c>
    </x:row>
    <x:row r="359">
      <x:c r="A359" s="11" t="n">
        <x:v>358</x:v>
      </x:c>
      <x:c r="B359" s="11" t="str">
        <x:v>2026-08-18</x:v>
      </x:c>
      <x:c r="C359" s="11" t="str">
        <x:v>L1</x:v>
      </x:c>
      <x:c r="D359" s="11" t="str">
        <x:v>Envasado A</x:v>
      </x:c>
      <x:c r="E359" s="11" t="str">
        <x:v>Vespertino</x:v>
      </x:c>
      <x:c r="F359" s="11" t="str">
        <x:v>P002</x:v>
      </x:c>
      <x:c r="G359" s="11" t="str">
        <x:v>Producto Beta</x:v>
      </x:c>
      <x:c r="H359" s="11" t="n">
        <x:v>480</x:v>
      </x:c>
      <x:c r="I359" s="11" t="n">
        <x:v>17</x:v>
      </x:c>
      <x:c r="J359" s="11" t="n">
        <x:v>19</x:v>
      </x:c>
      <x:c r="K359" s="11" t="n">
        <x:v>444</x:v>
      </x:c>
      <x:c r="L359" s="11" t="n">
        <x:v>8</x:v>
      </x:c>
      <x:c r="M359" s="11" t="n">
        <x:v>3333</x:v>
      </x:c>
      <x:c r="N359" s="11" t="n">
        <x:v>3231</x:v>
      </x:c>
      <x:c r="O359" s="11" t="n">
        <x:v>3092</x:v>
      </x:c>
      <x:c r="P359" s="11" t="n">
        <x:v>139</x:v>
      </x:c>
    </x:row>
    <x:row r="360">
      <x:c r="A360" s="11" t="n">
        <x:v>359</x:v>
      </x:c>
      <x:c r="B360" s="11" t="str">
        <x:v>2026-08-18</x:v>
      </x:c>
      <x:c r="C360" s="11" t="str">
        <x:v>L2</x:v>
      </x:c>
      <x:c r="D360" s="11" t="str">
        <x:v>Envasado B</x:v>
      </x:c>
      <x:c r="E360" s="11" t="str">
        <x:v>Matutino</x:v>
      </x:c>
      <x:c r="F360" s="11" t="str">
        <x:v>P003</x:v>
      </x:c>
      <x:c r="G360" s="11" t="str">
        <x:v>Producto Gamma</x:v>
      </x:c>
      <x:c r="H360" s="11" t="n">
        <x:v>480</x:v>
      </x:c>
      <x:c r="I360" s="11" t="n">
        <x:v>23</x:v>
      </x:c>
      <x:c r="J360" s="11" t="n">
        <x:v>41</x:v>
      </x:c>
      <x:c r="K360" s="11" t="n">
        <x:v>416</x:v>
      </x:c>
      <x:c r="L360" s="11" t="n">
        <x:v>7.5</x:v>
      </x:c>
      <x:c r="M360" s="11" t="n">
        <x:v>3084</x:v>
      </x:c>
      <x:c r="N360" s="11" t="n">
        <x:v>2923</x:v>
      </x:c>
      <x:c r="O360" s="11" t="n">
        <x:v>2736</x:v>
      </x:c>
      <x:c r="P360" s="11" t="n">
        <x:v>187</x:v>
      </x:c>
    </x:row>
    <x:row r="361">
      <x:c r="A361" s="11" t="n">
        <x:v>360</x:v>
      </x:c>
      <x:c r="B361" s="11" t="str">
        <x:v>2026-08-18</x:v>
      </x:c>
      <x:c r="C361" s="11" t="str">
        <x:v>L2</x:v>
      </x:c>
      <x:c r="D361" s="11" t="str">
        <x:v>Envasado B</x:v>
      </x:c>
      <x:c r="E361" s="11" t="str">
        <x:v>Vespertino</x:v>
      </x:c>
      <x:c r="F361" s="11" t="str">
        <x:v>P001</x:v>
      </x:c>
      <x:c r="G361" s="11" t="str">
        <x:v>Producto Alfa</x:v>
      </x:c>
      <x:c r="H361" s="11" t="n">
        <x:v>480</x:v>
      </x:c>
      <x:c r="I361" s="11" t="n">
        <x:v>33</x:v>
      </x:c>
      <x:c r="J361" s="11" t="n">
        <x:v>22</x:v>
      </x:c>
      <x:c r="K361" s="11" t="n">
        <x:v>425</x:v>
      </x:c>
      <x:c r="L361" s="11" t="n">
        <x:v>7.5</x:v>
      </x:c>
      <x:c r="M361" s="11" t="n">
        <x:v>3017</x:v>
      </x:c>
      <x:c r="N361" s="11" t="n">
        <x:v>2978</x:v>
      </x:c>
      <x:c r="O361" s="11" t="n">
        <x:v>2851</x:v>
      </x:c>
      <x:c r="P361" s="11" t="n">
        <x:v>127</x:v>
      </x:c>
    </x:row>
    <x:row r="362">
      <x:c r="A362" s="11" t="n">
        <x:v>361</x:v>
      </x:c>
      <x:c r="B362" s="11" t="str">
        <x:v>2026-08-18</x:v>
      </x:c>
      <x:c r="C362" s="11" t="str">
        <x:v>L3</x:v>
      </x:c>
      <x:c r="D362" s="11" t="str">
        <x:v>Empaque</x:v>
      </x:c>
      <x:c r="E362" s="11" t="str">
        <x:v>Matutino</x:v>
      </x:c>
      <x:c r="F362" s="11" t="str">
        <x:v>P003</x:v>
      </x:c>
      <x:c r="G362" s="11" t="str">
        <x:v>Producto Gamma</x:v>
      </x:c>
      <x:c r="H362" s="11" t="n">
        <x:v>480</x:v>
      </x:c>
      <x:c r="I362" s="11" t="n">
        <x:v>34</x:v>
      </x:c>
      <x:c r="J362" s="11" t="n">
        <x:v>22</x:v>
      </x:c>
      <x:c r="K362" s="11" t="n">
        <x:v>424</x:v>
      </x:c>
      <x:c r="L362" s="11" t="n">
        <x:v>8.67</x:v>
      </x:c>
      <x:c r="M362" s="11" t="n">
        <x:v>3478</x:v>
      </x:c>
      <x:c r="N362" s="11" t="n">
        <x:v>3122</x:v>
      </x:c>
      <x:c r="O362" s="11" t="n">
        <x:v>2992</x:v>
      </x:c>
      <x:c r="P362" s="11" t="n">
        <x:v>130</x:v>
      </x:c>
    </x:row>
    <x:row r="363">
      <x:c r="A363" s="11" t="n">
        <x:v>362</x:v>
      </x:c>
      <x:c r="B363" s="11" t="str">
        <x:v>2026-08-18</x:v>
      </x:c>
      <x:c r="C363" s="11" t="str">
        <x:v>L3</x:v>
      </x:c>
      <x:c r="D363" s="11" t="str">
        <x:v>Empaque</x:v>
      </x:c>
      <x:c r="E363" s="11" t="str">
        <x:v>Vespertino</x:v>
      </x:c>
      <x:c r="F363" s="11" t="str">
        <x:v>P001</x:v>
      </x:c>
      <x:c r="G363" s="11" t="str">
        <x:v>Producto Alfa</x:v>
      </x:c>
      <x:c r="H363" s="11" t="n">
        <x:v>480</x:v>
      </x:c>
      <x:c r="I363" s="11" t="n">
        <x:v>17</x:v>
      </x:c>
      <x:c r="J363" s="11" t="n">
        <x:v>4</x:v>
      </x:c>
      <x:c r="K363" s="11" t="n">
        <x:v>459</x:v>
      </x:c>
      <x:c r="L363" s="11" t="n">
        <x:v>8.67</x:v>
      </x:c>
      <x:c r="M363" s="11" t="n">
        <x:v>3611</x:v>
      </x:c>
      <x:c r="N363" s="11" t="n">
        <x:v>3865</x:v>
      </x:c>
      <x:c r="O363" s="11" t="n">
        <x:v>3729</x:v>
      </x:c>
      <x:c r="P363" s="11" t="n">
        <x:v>136</x:v>
      </x:c>
    </x:row>
    <x:row r="364">
      <x:c r="A364" s="11" t="n">
        <x:v>363</x:v>
      </x:c>
      <x:c r="B364" s="11" t="str">
        <x:v>2026-08-18</x:v>
      </x:c>
      <x:c r="C364" s="11" t="str">
        <x:v>L4</x:v>
      </x:c>
      <x:c r="D364" s="11" t="str">
        <x:v>Etiquetado</x:v>
      </x:c>
      <x:c r="E364" s="11" t="str">
        <x:v>Matutino</x:v>
      </x:c>
      <x:c r="F364" s="11" t="str">
        <x:v>P003</x:v>
      </x:c>
      <x:c r="G364" s="11" t="str">
        <x:v>Producto Gamma</x:v>
      </x:c>
      <x:c r="H364" s="11" t="n">
        <x:v>480</x:v>
      </x:c>
      <x:c r="I364" s="11" t="n">
        <x:v>23</x:v>
      </x:c>
      <x:c r="J364" s="11" t="n">
        <x:v>6</x:v>
      </x:c>
      <x:c r="K364" s="11" t="n">
        <x:v>451</x:v>
      </x:c>
      <x:c r="L364" s="11" t="n">
        <x:v>10</x:v>
      </x:c>
      <x:c r="M364" s="11" t="n">
        <x:v>4113</x:v>
      </x:c>
      <x:c r="N364" s="11" t="n">
        <x:v>3822</x:v>
      </x:c>
      <x:c r="O364" s="11" t="n">
        <x:v>3574</x:v>
      </x:c>
      <x:c r="P364" s="11" t="n">
        <x:v>248</x:v>
      </x:c>
    </x:row>
    <x:row r="365">
      <x:c r="A365" s="11" t="n">
        <x:v>364</x:v>
      </x:c>
      <x:c r="B365" s="11" t="str">
        <x:v>2026-08-18</x:v>
      </x:c>
      <x:c r="C365" s="11" t="str">
        <x:v>L4</x:v>
      </x:c>
      <x:c r="D365" s="11" t="str">
        <x:v>Etiquetado</x:v>
      </x:c>
      <x:c r="E365" s="11" t="str">
        <x:v>Vespertino</x:v>
      </x:c>
      <x:c r="F365" s="11" t="str">
        <x:v>P002</x:v>
      </x:c>
      <x:c r="G365" s="11" t="str">
        <x:v>Producto Beta</x:v>
      </x:c>
      <x:c r="H365" s="11" t="n">
        <x:v>480</x:v>
      </x:c>
      <x:c r="I365" s="11" t="n">
        <x:v>35</x:v>
      </x:c>
      <x:c r="J365" s="11" t="n">
        <x:v>43</x:v>
      </x:c>
      <x:c r="K365" s="11" t="n">
        <x:v>402</x:v>
      </x:c>
      <x:c r="L365" s="11" t="n">
        <x:v>10</x:v>
      </x:c>
      <x:c r="M365" s="11" t="n">
        <x:v>4005</x:v>
      </x:c>
      <x:c r="N365" s="11" t="n">
        <x:v>3409</x:v>
      </x:c>
      <x:c r="O365" s="11" t="n">
        <x:v>3187</x:v>
      </x:c>
      <x:c r="P365" s="11" t="n">
        <x:v>222</x:v>
      </x:c>
    </x:row>
    <x:row r="366">
      <x:c r="A366" s="11" t="n">
        <x:v>365</x:v>
      </x:c>
      <x:c r="B366" s="11" t="str">
        <x:v>2026-08-19</x:v>
      </x:c>
      <x:c r="C366" s="11" t="str">
        <x:v>L1</x:v>
      </x:c>
      <x:c r="D366" s="11" t="str">
        <x:v>Envasado A</x:v>
      </x:c>
      <x:c r="E366" s="11" t="str">
        <x:v>Matutino</x:v>
      </x:c>
      <x:c r="F366" s="11" t="str">
        <x:v>P002</x:v>
      </x:c>
      <x:c r="G366" s="11" t="str">
        <x:v>Producto Beta</x:v>
      </x:c>
      <x:c r="H366" s="11" t="n">
        <x:v>480</x:v>
      </x:c>
      <x:c r="I366" s="11" t="n">
        <x:v>30</x:v>
      </x:c>
      <x:c r="J366" s="11" t="n">
        <x:v>29</x:v>
      </x:c>
      <x:c r="K366" s="11" t="n">
        <x:v>421</x:v>
      </x:c>
      <x:c r="L366" s="11" t="n">
        <x:v>8</x:v>
      </x:c>
      <x:c r="M366" s="11" t="n">
        <x:v>3240</x:v>
      </x:c>
      <x:c r="N366" s="11" t="n">
        <x:v>3339</x:v>
      </x:c>
      <x:c r="O366" s="11" t="n">
        <x:v>3102</x:v>
      </x:c>
      <x:c r="P366" s="11" t="n">
        <x:v>237</x:v>
      </x:c>
    </x:row>
    <x:row r="367">
      <x:c r="A367" s="11" t="n">
        <x:v>366</x:v>
      </x:c>
      <x:c r="B367" s="11" t="str">
        <x:v>2026-08-19</x:v>
      </x:c>
      <x:c r="C367" s="11" t="str">
        <x:v>L1</x:v>
      </x:c>
      <x:c r="D367" s="11" t="str">
        <x:v>Envasado A</x:v>
      </x:c>
      <x:c r="E367" s="11" t="str">
        <x:v>Vespertino</x:v>
      </x:c>
      <x:c r="F367" s="11" t="str">
        <x:v>P003</x:v>
      </x:c>
      <x:c r="G367" s="11" t="str">
        <x:v>Producto Gamma</x:v>
      </x:c>
      <x:c r="H367" s="11" t="n">
        <x:v>480</x:v>
      </x:c>
      <x:c r="I367" s="11" t="n">
        <x:v>16</x:v>
      </x:c>
      <x:c r="J367" s="11" t="n">
        <x:v>41</x:v>
      </x:c>
      <x:c r="K367" s="11" t="n">
        <x:v>423</x:v>
      </x:c>
      <x:c r="L367" s="11" t="n">
        <x:v>8</x:v>
      </x:c>
      <x:c r="M367" s="11" t="n">
        <x:v>3340</x:v>
      </x:c>
      <x:c r="N367" s="11" t="n">
        <x:v>3165</x:v>
      </x:c>
      <x:c r="O367" s="11" t="n">
        <x:v>3039</x:v>
      </x:c>
      <x:c r="P367" s="11" t="n">
        <x:v>126</x:v>
      </x:c>
    </x:row>
    <x:row r="368">
      <x:c r="A368" s="11" t="n">
        <x:v>367</x:v>
      </x:c>
      <x:c r="B368" s="11" t="str">
        <x:v>2026-08-19</x:v>
      </x:c>
      <x:c r="C368" s="11" t="str">
        <x:v>L2</x:v>
      </x:c>
      <x:c r="D368" s="11" t="str">
        <x:v>Envasado B</x:v>
      </x:c>
      <x:c r="E368" s="11" t="str">
        <x:v>Matutino</x:v>
      </x:c>
      <x:c r="F368" s="11" t="str">
        <x:v>P002</x:v>
      </x:c>
      <x:c r="G368" s="11" t="str">
        <x:v>Producto Beta</x:v>
      </x:c>
      <x:c r="H368" s="11" t="n">
        <x:v>480</x:v>
      </x:c>
      <x:c r="I368" s="11" t="n">
        <x:v>21</x:v>
      </x:c>
      <x:c r="J368" s="11" t="n">
        <x:v>21</x:v>
      </x:c>
      <x:c r="K368" s="11" t="n">
        <x:v>438</x:v>
      </x:c>
      <x:c r="L368" s="11" t="n">
        <x:v>7.5</x:v>
      </x:c>
      <x:c r="M368" s="11" t="n">
        <x:v>3098</x:v>
      </x:c>
      <x:c r="N368" s="11" t="n">
        <x:v>3058</x:v>
      </x:c>
      <x:c r="O368" s="11" t="n">
        <x:v>2895</x:v>
      </x:c>
      <x:c r="P368" s="11" t="n">
        <x:v>163</x:v>
      </x:c>
    </x:row>
    <x:row r="369">
      <x:c r="A369" s="11" t="n">
        <x:v>368</x:v>
      </x:c>
      <x:c r="B369" s="11" t="str">
        <x:v>2026-08-19</x:v>
      </x:c>
      <x:c r="C369" s="11" t="str">
        <x:v>L2</x:v>
      </x:c>
      <x:c r="D369" s="11" t="str">
        <x:v>Envasado B</x:v>
      </x:c>
      <x:c r="E369" s="11" t="str">
        <x:v>Vespertino</x:v>
      </x:c>
      <x:c r="F369" s="11" t="str">
        <x:v>P002</x:v>
      </x:c>
      <x:c r="G369" s="11" t="str">
        <x:v>Producto Beta</x:v>
      </x:c>
      <x:c r="H369" s="11" t="n">
        <x:v>480</x:v>
      </x:c>
      <x:c r="I369" s="11" t="n">
        <x:v>27</x:v>
      </x:c>
      <x:c r="J369" s="11" t="n">
        <x:v>13</x:v>
      </x:c>
      <x:c r="K369" s="11" t="n">
        <x:v>440</x:v>
      </x:c>
      <x:c r="L369" s="11" t="n">
        <x:v>7.5</x:v>
      </x:c>
      <x:c r="M369" s="11" t="n">
        <x:v>3057</x:v>
      </x:c>
      <x:c r="N369" s="11" t="n">
        <x:v>3100</x:v>
      </x:c>
      <x:c r="O369" s="11" t="n">
        <x:v>2940</x:v>
      </x:c>
      <x:c r="P369" s="11" t="n">
        <x:v>160</x:v>
      </x:c>
    </x:row>
    <x:row r="370">
      <x:c r="A370" s="11" t="n">
        <x:v>369</x:v>
      </x:c>
      <x:c r="B370" s="11" t="str">
        <x:v>2026-08-19</x:v>
      </x:c>
      <x:c r="C370" s="11" t="str">
        <x:v>L3</x:v>
      </x:c>
      <x:c r="D370" s="11" t="str">
        <x:v>Empaque</x:v>
      </x:c>
      <x:c r="E370" s="11" t="str">
        <x:v>Matutino</x:v>
      </x:c>
      <x:c r="F370" s="11" t="str">
        <x:v>P003</x:v>
      </x:c>
      <x:c r="G370" s="11" t="str">
        <x:v>Producto Gamma</x:v>
      </x:c>
      <x:c r="H370" s="11" t="n">
        <x:v>480</x:v>
      </x:c>
      <x:c r="I370" s="11" t="n">
        <x:v>18</x:v>
      </x:c>
      <x:c r="J370" s="11" t="n">
        <x:v>17</x:v>
      </x:c>
      <x:c r="K370" s="11" t="n">
        <x:v>445</x:v>
      </x:c>
      <x:c r="L370" s="11" t="n">
        <x:v>8.67</x:v>
      </x:c>
      <x:c r="M370" s="11" t="n">
        <x:v>3603</x:v>
      </x:c>
      <x:c r="N370" s="11" t="n">
        <x:v>3686</x:v>
      </x:c>
      <x:c r="O370" s="11" t="n">
        <x:v>3498</x:v>
      </x:c>
      <x:c r="P370" s="11" t="n">
        <x:v>188</x:v>
      </x:c>
    </x:row>
    <x:row r="371">
      <x:c r="A371" s="11" t="n">
        <x:v>370</x:v>
      </x:c>
      <x:c r="B371" s="11" t="str">
        <x:v>2026-08-19</x:v>
      </x:c>
      <x:c r="C371" s="11" t="str">
        <x:v>L3</x:v>
      </x:c>
      <x:c r="D371" s="11" t="str">
        <x:v>Empaque</x:v>
      </x:c>
      <x:c r="E371" s="11" t="str">
        <x:v>Vespertino</x:v>
      </x:c>
      <x:c r="F371" s="11" t="str">
        <x:v>P001</x:v>
      </x:c>
      <x:c r="G371" s="11" t="str">
        <x:v>Producto Alfa</x:v>
      </x:c>
      <x:c r="H371" s="11" t="n">
        <x:v>480</x:v>
      </x:c>
      <x:c r="I371" s="11" t="n">
        <x:v>16</x:v>
      </x:c>
      <x:c r="J371" s="11" t="n">
        <x:v>44</x:v>
      </x:c>
      <x:c r="K371" s="11" t="n">
        <x:v>420</x:v>
      </x:c>
      <x:c r="L371" s="11" t="n">
        <x:v>8.67</x:v>
      </x:c>
      <x:c r="M371" s="11" t="n">
        <x:v>3619</x:v>
      </x:c>
      <x:c r="N371" s="11" t="n">
        <x:v>3272</x:v>
      </x:c>
      <x:c r="O371" s="11" t="n">
        <x:v>3178</x:v>
      </x:c>
      <x:c r="P371" s="11" t="n">
        <x:v>94</x:v>
      </x:c>
    </x:row>
    <x:row r="372">
      <x:c r="A372" s="11" t="n">
        <x:v>371</x:v>
      </x:c>
      <x:c r="B372" s="11" t="str">
        <x:v>2026-08-19</x:v>
      </x:c>
      <x:c r="C372" s="11" t="str">
        <x:v>L4</x:v>
      </x:c>
      <x:c r="D372" s="11" t="str">
        <x:v>Etiquetado</x:v>
      </x:c>
      <x:c r="E372" s="11" t="str">
        <x:v>Matutino</x:v>
      </x:c>
      <x:c r="F372" s="11" t="str">
        <x:v>P003</x:v>
      </x:c>
      <x:c r="G372" s="11" t="str">
        <x:v>Producto Gamma</x:v>
      </x:c>
      <x:c r="H372" s="11" t="n">
        <x:v>480</x:v>
      </x:c>
      <x:c r="I372" s="11" t="n">
        <x:v>28</x:v>
      </x:c>
      <x:c r="J372" s="11" t="n">
        <x:v>28</x:v>
      </x:c>
      <x:c r="K372" s="11" t="n">
        <x:v>424</x:v>
      </x:c>
      <x:c r="L372" s="11" t="n">
        <x:v>10</x:v>
      </x:c>
      <x:c r="M372" s="11" t="n">
        <x:v>4068</x:v>
      </x:c>
      <x:c r="N372" s="11" t="n">
        <x:v>4240</x:v>
      </x:c>
      <x:c r="O372" s="11" t="n">
        <x:v>4052</x:v>
      </x:c>
      <x:c r="P372" s="11" t="n">
        <x:v>188</x:v>
      </x:c>
    </x:row>
    <x:row r="373">
      <x:c r="A373" s="11" t="n">
        <x:v>372</x:v>
      </x:c>
      <x:c r="B373" s="11" t="str">
        <x:v>2026-08-19</x:v>
      </x:c>
      <x:c r="C373" s="11" t="str">
        <x:v>L4</x:v>
      </x:c>
      <x:c r="D373" s="11" t="str">
        <x:v>Etiquetado</x:v>
      </x:c>
      <x:c r="E373" s="11" t="str">
        <x:v>Vespertino</x:v>
      </x:c>
      <x:c r="F373" s="11" t="str">
        <x:v>P003</x:v>
      </x:c>
      <x:c r="G373" s="11" t="str">
        <x:v>Producto Gamma</x:v>
      </x:c>
      <x:c r="H373" s="11" t="n">
        <x:v>480</x:v>
      </x:c>
      <x:c r="I373" s="11" t="n">
        <x:v>25</x:v>
      </x:c>
      <x:c r="J373" s="11" t="n">
        <x:v>44</x:v>
      </x:c>
      <x:c r="K373" s="11" t="n">
        <x:v>411</x:v>
      </x:c>
      <x:c r="L373" s="11" t="n">
        <x:v>10</x:v>
      </x:c>
      <x:c r="M373" s="11" t="n">
        <x:v>4095</x:v>
      </x:c>
      <x:c r="N373" s="11" t="n">
        <x:v>3780</x:v>
      </x:c>
      <x:c r="O373" s="11" t="n">
        <x:v>3615</x:v>
      </x:c>
      <x:c r="P373" s="11" t="n">
        <x:v>165</x:v>
      </x:c>
    </x:row>
    <x:row r="374">
      <x:c r="A374" s="11" t="n">
        <x:v>373</x:v>
      </x:c>
      <x:c r="B374" s="11" t="str">
        <x:v>2026-08-20</x:v>
      </x:c>
      <x:c r="C374" s="11" t="str">
        <x:v>L1</x:v>
      </x:c>
      <x:c r="D374" s="11" t="str">
        <x:v>Envasado A</x:v>
      </x:c>
      <x:c r="E374" s="11" t="str">
        <x:v>Matutino</x:v>
      </x:c>
      <x:c r="F374" s="11" t="str">
        <x:v>P003</x:v>
      </x:c>
      <x:c r="G374" s="11" t="str">
        <x:v>Producto Gamma</x:v>
      </x:c>
      <x:c r="H374" s="11" t="n">
        <x:v>480</x:v>
      </x:c>
      <x:c r="I374" s="11" t="n">
        <x:v>29</x:v>
      </x:c>
      <x:c r="J374" s="11" t="n">
        <x:v>9</x:v>
      </x:c>
      <x:c r="K374" s="11" t="n">
        <x:v>442</x:v>
      </x:c>
      <x:c r="L374" s="11" t="n">
        <x:v>8</x:v>
      </x:c>
      <x:c r="M374" s="11" t="n">
        <x:v>3247</x:v>
      </x:c>
      <x:c r="N374" s="11" t="n">
        <x:v>3218</x:v>
      </x:c>
      <x:c r="O374" s="11" t="n">
        <x:v>3149</x:v>
      </x:c>
      <x:c r="P374" s="11" t="n">
        <x:v>69</x:v>
      </x:c>
    </x:row>
    <x:row r="375">
      <x:c r="A375" s="11" t="n">
        <x:v>374</x:v>
      </x:c>
      <x:c r="B375" s="11" t="str">
        <x:v>2026-08-20</x:v>
      </x:c>
      <x:c r="C375" s="11" t="str">
        <x:v>L1</x:v>
      </x:c>
      <x:c r="D375" s="11" t="str">
        <x:v>Envasado A</x:v>
      </x:c>
      <x:c r="E375" s="11" t="str">
        <x:v>Vespertino</x:v>
      </x:c>
      <x:c r="F375" s="11" t="str">
        <x:v>P003</x:v>
      </x:c>
      <x:c r="G375" s="11" t="str">
        <x:v>Producto Gamma</x:v>
      </x:c>
      <x:c r="H375" s="11" t="n">
        <x:v>480</x:v>
      </x:c>
      <x:c r="I375" s="11" t="n">
        <x:v>29</x:v>
      </x:c>
      <x:c r="J375" s="11" t="n">
        <x:v>35</x:v>
      </x:c>
      <x:c r="K375" s="11" t="n">
        <x:v>416</x:v>
      </x:c>
      <x:c r="L375" s="11" t="n">
        <x:v>8</x:v>
      </x:c>
      <x:c r="M375" s="11" t="n">
        <x:v>3247</x:v>
      </x:c>
      <x:c r="N375" s="11" t="n">
        <x:v>3130</x:v>
      </x:c>
      <x:c r="O375" s="11" t="n">
        <x:v>2968</x:v>
      </x:c>
      <x:c r="P375" s="11" t="n">
        <x:v>162</x:v>
      </x:c>
    </x:row>
    <x:row r="376">
      <x:c r="A376" s="11" t="n">
        <x:v>375</x:v>
      </x:c>
      <x:c r="B376" s="11" t="str">
        <x:v>2026-08-20</x:v>
      </x:c>
      <x:c r="C376" s="11" t="str">
        <x:v>L2</x:v>
      </x:c>
      <x:c r="D376" s="11" t="str">
        <x:v>Envasado B</x:v>
      </x:c>
      <x:c r="E376" s="11" t="str">
        <x:v>Matutino</x:v>
      </x:c>
      <x:c r="F376" s="11" t="str">
        <x:v>P002</x:v>
      </x:c>
      <x:c r="G376" s="11" t="str">
        <x:v>Producto Beta</x:v>
      </x:c>
      <x:c r="H376" s="11" t="n">
        <x:v>480</x:v>
      </x:c>
      <x:c r="I376" s="11" t="n">
        <x:v>16</x:v>
      </x:c>
      <x:c r="J376" s="11" t="n">
        <x:v>52</x:v>
      </x:c>
      <x:c r="K376" s="11" t="n">
        <x:v>412</x:v>
      </x:c>
      <x:c r="L376" s="11" t="n">
        <x:v>7.5</x:v>
      </x:c>
      <x:c r="M376" s="11" t="n">
        <x:v>3132</x:v>
      </x:c>
      <x:c r="N376" s="11" t="n">
        <x:v>2862</x:v>
      </x:c>
      <x:c r="O376" s="11" t="n">
        <x:v>2727</x:v>
      </x:c>
      <x:c r="P376" s="11" t="n">
        <x:v>135</x:v>
      </x:c>
    </x:row>
    <x:row r="377">
      <x:c r="A377" s="11" t="n">
        <x:v>376</x:v>
      </x:c>
      <x:c r="B377" s="11" t="str">
        <x:v>2026-08-20</x:v>
      </x:c>
      <x:c r="C377" s="11" t="str">
        <x:v>L2</x:v>
      </x:c>
      <x:c r="D377" s="11" t="str">
        <x:v>Envasado B</x:v>
      </x:c>
      <x:c r="E377" s="11" t="str">
        <x:v>Vespertino</x:v>
      </x:c>
      <x:c r="F377" s="11" t="str">
        <x:v>P002</x:v>
      </x:c>
      <x:c r="G377" s="11" t="str">
        <x:v>Producto Beta</x:v>
      </x:c>
      <x:c r="H377" s="11" t="n">
        <x:v>480</x:v>
      </x:c>
      <x:c r="I377" s="11" t="n">
        <x:v>24</x:v>
      </x:c>
      <x:c r="J377" s="11" t="n">
        <x:v>6</x:v>
      </x:c>
      <x:c r="K377" s="11" t="n">
        <x:v>450</x:v>
      </x:c>
      <x:c r="L377" s="11" t="n">
        <x:v>7.5</x:v>
      </x:c>
      <x:c r="M377" s="11" t="n">
        <x:v>3078</x:v>
      </x:c>
      <x:c r="N377" s="11" t="n">
        <x:v>2784</x:v>
      </x:c>
      <x:c r="O377" s="11" t="n">
        <x:v>2602</x:v>
      </x:c>
      <x:c r="P377" s="11" t="n">
        <x:v>182</x:v>
      </x:c>
    </x:row>
    <x:row r="378">
      <x:c r="A378" s="11" t="n">
        <x:v>377</x:v>
      </x:c>
      <x:c r="B378" s="11" t="str">
        <x:v>2026-08-20</x:v>
      </x:c>
      <x:c r="C378" s="11" t="str">
        <x:v>L3</x:v>
      </x:c>
      <x:c r="D378" s="11" t="str">
        <x:v>Empaque</x:v>
      </x:c>
      <x:c r="E378" s="11" t="str">
        <x:v>Matutino</x:v>
      </x:c>
      <x:c r="F378" s="11" t="str">
        <x:v>P002</x:v>
      </x:c>
      <x:c r="G378" s="11" t="str">
        <x:v>Producto Beta</x:v>
      </x:c>
      <x:c r="H378" s="11" t="n">
        <x:v>480</x:v>
      </x:c>
      <x:c r="I378" s="11" t="n">
        <x:v>19</x:v>
      </x:c>
      <x:c r="J378" s="11" t="n">
        <x:v>54</x:v>
      </x:c>
      <x:c r="K378" s="11" t="n">
        <x:v>407</x:v>
      </x:c>
      <x:c r="L378" s="11" t="n">
        <x:v>8.67</x:v>
      </x:c>
      <x:c r="M378" s="11" t="n">
        <x:v>3595</x:v>
      </x:c>
      <x:c r="N378" s="11" t="n">
        <x:v>3037</x:v>
      </x:c>
      <x:c r="O378" s="11" t="n">
        <x:v>2857</x:v>
      </x:c>
      <x:c r="P378" s="11" t="n">
        <x:v>180</x:v>
      </x:c>
    </x:row>
    <x:row r="379">
      <x:c r="A379" s="11" t="n">
        <x:v>378</x:v>
      </x:c>
      <x:c r="B379" s="11" t="str">
        <x:v>2026-08-20</x:v>
      </x:c>
      <x:c r="C379" s="11" t="str">
        <x:v>L3</x:v>
      </x:c>
      <x:c r="D379" s="11" t="str">
        <x:v>Empaque</x:v>
      </x:c>
      <x:c r="E379" s="11" t="str">
        <x:v>Vespertino</x:v>
      </x:c>
      <x:c r="F379" s="11" t="str">
        <x:v>P002</x:v>
      </x:c>
      <x:c r="G379" s="11" t="str">
        <x:v>Producto Beta</x:v>
      </x:c>
      <x:c r="H379" s="11" t="n">
        <x:v>480</x:v>
      </x:c>
      <x:c r="I379" s="11" t="n">
        <x:v>16</x:v>
      </x:c>
      <x:c r="J379" s="11" t="n">
        <x:v>7</x:v>
      </x:c>
      <x:c r="K379" s="11" t="n">
        <x:v>457</x:v>
      </x:c>
      <x:c r="L379" s="11" t="n">
        <x:v>8.67</x:v>
      </x:c>
      <x:c r="M379" s="11" t="n">
        <x:v>3619</x:v>
      </x:c>
      <x:c r="N379" s="11" t="n">
        <x:v>3498</x:v>
      </x:c>
      <x:c r="O379" s="11" t="n">
        <x:v>3276</x:v>
      </x:c>
      <x:c r="P379" s="11" t="n">
        <x:v>222</x:v>
      </x:c>
    </x:row>
    <x:row r="380">
      <x:c r="A380" s="11" t="n">
        <x:v>379</x:v>
      </x:c>
      <x:c r="B380" s="11" t="str">
        <x:v>2026-08-20</x:v>
      </x:c>
      <x:c r="C380" s="11" t="str">
        <x:v>L4</x:v>
      </x:c>
      <x:c r="D380" s="11" t="str">
        <x:v>Etiquetado</x:v>
      </x:c>
      <x:c r="E380" s="11" t="str">
        <x:v>Matutino</x:v>
      </x:c>
      <x:c r="F380" s="11" t="str">
        <x:v>P003</x:v>
      </x:c>
      <x:c r="G380" s="11" t="str">
        <x:v>Producto Gamma</x:v>
      </x:c>
      <x:c r="H380" s="11" t="n">
        <x:v>480</x:v>
      </x:c>
      <x:c r="I380" s="11" t="n">
        <x:v>24</x:v>
      </x:c>
      <x:c r="J380" s="11" t="n">
        <x:v>51</x:v>
      </x:c>
      <x:c r="K380" s="11" t="n">
        <x:v>405</x:v>
      </x:c>
      <x:c r="L380" s="11" t="n">
        <x:v>10</x:v>
      </x:c>
      <x:c r="M380" s="11" t="n">
        <x:v>4104</x:v>
      </x:c>
      <x:c r="N380" s="11" t="n">
        <x:v>3781</x:v>
      </x:c>
      <x:c r="O380" s="11" t="n">
        <x:v>3595</x:v>
      </x:c>
      <x:c r="P380" s="11" t="n">
        <x:v>186</x:v>
      </x:c>
    </x:row>
    <x:row r="381">
      <x:c r="A381" s="11" t="n">
        <x:v>380</x:v>
      </x:c>
      <x:c r="B381" s="11" t="str">
        <x:v>2026-08-20</x:v>
      </x:c>
      <x:c r="C381" s="11" t="str">
        <x:v>L4</x:v>
      </x:c>
      <x:c r="D381" s="11" t="str">
        <x:v>Etiquetado</x:v>
      </x:c>
      <x:c r="E381" s="11" t="str">
        <x:v>Vespertino</x:v>
      </x:c>
      <x:c r="F381" s="11" t="str">
        <x:v>P003</x:v>
      </x:c>
      <x:c r="G381" s="11" t="str">
        <x:v>Producto Gamma</x:v>
      </x:c>
      <x:c r="H381" s="11" t="n">
        <x:v>480</x:v>
      </x:c>
      <x:c r="I381" s="11" t="n">
        <x:v>34</x:v>
      </x:c>
      <x:c r="J381" s="11" t="n">
        <x:v>10</x:v>
      </x:c>
      <x:c r="K381" s="11" t="n">
        <x:v>436</x:v>
      </x:c>
      <x:c r="L381" s="11" t="n">
        <x:v>10</x:v>
      </x:c>
      <x:c r="M381" s="11" t="n">
        <x:v>4014</x:v>
      </x:c>
      <x:c r="N381" s="11" t="n">
        <x:v>4358</x:v>
      </x:c>
      <x:c r="O381" s="11" t="n">
        <x:v>4236</x:v>
      </x:c>
      <x:c r="P381" s="11" t="n">
        <x:v>122</x:v>
      </x:c>
    </x:row>
    <x:row r="382">
      <x:c r="A382" s="11" t="n">
        <x:v>381</x:v>
      </x:c>
      <x:c r="B382" s="11" t="str">
        <x:v>2026-08-21</x:v>
      </x:c>
      <x:c r="C382" s="11" t="str">
        <x:v>L1</x:v>
      </x:c>
      <x:c r="D382" s="11" t="str">
        <x:v>Envasado A</x:v>
      </x:c>
      <x:c r="E382" s="11" t="str">
        <x:v>Matutino</x:v>
      </x:c>
      <x:c r="F382" s="11" t="str">
        <x:v>P002</x:v>
      </x:c>
      <x:c r="G382" s="11" t="str">
        <x:v>Producto Beta</x:v>
      </x:c>
      <x:c r="H382" s="11" t="n">
        <x:v>480</x:v>
      </x:c>
      <x:c r="I382" s="11" t="n">
        <x:v>26</x:v>
      </x:c>
      <x:c r="J382" s="11" t="n">
        <x:v>33</x:v>
      </x:c>
      <x:c r="K382" s="11" t="n">
        <x:v>421</x:v>
      </x:c>
      <x:c r="L382" s="11" t="n">
        <x:v>8</x:v>
      </x:c>
      <x:c r="M382" s="11" t="n">
        <x:v>3268</x:v>
      </x:c>
      <x:c r="N382" s="11" t="n">
        <x:v>2932</x:v>
      </x:c>
      <x:c r="O382" s="11" t="n">
        <x:v>2810</x:v>
      </x:c>
      <x:c r="P382" s="11" t="n">
        <x:v>122</x:v>
      </x:c>
    </x:row>
    <x:row r="383">
      <x:c r="A383" s="11" t="n">
        <x:v>382</x:v>
      </x:c>
      <x:c r="B383" s="11" t="str">
        <x:v>2026-08-21</x:v>
      </x:c>
      <x:c r="C383" s="11" t="str">
        <x:v>L1</x:v>
      </x:c>
      <x:c r="D383" s="11" t="str">
        <x:v>Envasado A</x:v>
      </x:c>
      <x:c r="E383" s="11" t="str">
        <x:v>Vespertino</x:v>
      </x:c>
      <x:c r="F383" s="11" t="str">
        <x:v>P001</x:v>
      </x:c>
      <x:c r="G383" s="11" t="str">
        <x:v>Producto Alfa</x:v>
      </x:c>
      <x:c r="H383" s="11" t="n">
        <x:v>480</x:v>
      </x:c>
      <x:c r="I383" s="11" t="n">
        <x:v>34</x:v>
      </x:c>
      <x:c r="J383" s="11" t="n">
        <x:v>14</x:v>
      </x:c>
      <x:c r="K383" s="11" t="n">
        <x:v>432</x:v>
      </x:c>
      <x:c r="L383" s="11" t="n">
        <x:v>8</x:v>
      </x:c>
      <x:c r="M383" s="11" t="n">
        <x:v>3211</x:v>
      </x:c>
      <x:c r="N383" s="11" t="n">
        <x:v>2962</x:v>
      </x:c>
      <x:c r="O383" s="11" t="n">
        <x:v>2841</x:v>
      </x:c>
      <x:c r="P383" s="11" t="n">
        <x:v>121</x:v>
      </x:c>
    </x:row>
    <x:row r="384">
      <x:c r="A384" s="11" t="n">
        <x:v>383</x:v>
      </x:c>
      <x:c r="B384" s="11" t="str">
        <x:v>2026-08-21</x:v>
      </x:c>
      <x:c r="C384" s="11" t="str">
        <x:v>L2</x:v>
      </x:c>
      <x:c r="D384" s="11" t="str">
        <x:v>Envasado B</x:v>
      </x:c>
      <x:c r="E384" s="11" t="str">
        <x:v>Matutino</x:v>
      </x:c>
      <x:c r="F384" s="11" t="str">
        <x:v>P001</x:v>
      </x:c>
      <x:c r="G384" s="11" t="str">
        <x:v>Producto Alfa</x:v>
      </x:c>
      <x:c r="H384" s="11" t="n">
        <x:v>480</x:v>
      </x:c>
      <x:c r="I384" s="11" t="n">
        <x:v>16</x:v>
      </x:c>
      <x:c r="J384" s="11" t="n">
        <x:v>40</x:v>
      </x:c>
      <x:c r="K384" s="11" t="n">
        <x:v>424</x:v>
      </x:c>
      <x:c r="L384" s="11" t="n">
        <x:v>7.5</x:v>
      </x:c>
      <x:c r="M384" s="11" t="n">
        <x:v>3132</x:v>
      </x:c>
      <x:c r="N384" s="11" t="n">
        <x:v>2991</x:v>
      </x:c>
      <x:c r="O384" s="11" t="n">
        <x:v>2832</x:v>
      </x:c>
      <x:c r="P384" s="11" t="n">
        <x:v>159</x:v>
      </x:c>
    </x:row>
    <x:row r="385">
      <x:c r="A385" s="11" t="n">
        <x:v>384</x:v>
      </x:c>
      <x:c r="B385" s="11" t="str">
        <x:v>2026-08-21</x:v>
      </x:c>
      <x:c r="C385" s="11" t="str">
        <x:v>L2</x:v>
      </x:c>
      <x:c r="D385" s="11" t="str">
        <x:v>Envasado B</x:v>
      </x:c>
      <x:c r="E385" s="11" t="str">
        <x:v>Vespertino</x:v>
      </x:c>
      <x:c r="F385" s="11" t="str">
        <x:v>P003</x:v>
      </x:c>
      <x:c r="G385" s="11" t="str">
        <x:v>Producto Gamma</x:v>
      </x:c>
      <x:c r="H385" s="11" t="n">
        <x:v>480</x:v>
      </x:c>
      <x:c r="I385" s="11" t="n">
        <x:v>31</x:v>
      </x:c>
      <x:c r="J385" s="11" t="n">
        <x:v>31</x:v>
      </x:c>
      <x:c r="K385" s="11" t="n">
        <x:v>418</x:v>
      </x:c>
      <x:c r="L385" s="11" t="n">
        <x:v>7.5</x:v>
      </x:c>
      <x:c r="M385" s="11" t="n">
        <x:v>3030</x:v>
      </x:c>
      <x:c r="N385" s="11" t="n">
        <x:v>3061</x:v>
      </x:c>
      <x:c r="O385" s="11" t="n">
        <x:v>2973</x:v>
      </x:c>
      <x:c r="P385" s="11" t="n">
        <x:v>88</x:v>
      </x:c>
    </x:row>
    <x:row r="386">
      <x:c r="A386" s="11" t="n">
        <x:v>385</x:v>
      </x:c>
      <x:c r="B386" s="11" t="str">
        <x:v>2026-08-21</x:v>
      </x:c>
      <x:c r="C386" s="11" t="str">
        <x:v>L3</x:v>
      </x:c>
      <x:c r="D386" s="11" t="str">
        <x:v>Empaque</x:v>
      </x:c>
      <x:c r="E386" s="11" t="str">
        <x:v>Matutino</x:v>
      </x:c>
      <x:c r="F386" s="11" t="str">
        <x:v>P002</x:v>
      </x:c>
      <x:c r="G386" s="11" t="str">
        <x:v>Producto Beta</x:v>
      </x:c>
      <x:c r="H386" s="11" t="n">
        <x:v>480</x:v>
      </x:c>
      <x:c r="I386" s="11" t="n">
        <x:v>20</x:v>
      </x:c>
      <x:c r="J386" s="11" t="n">
        <x:v>4</x:v>
      </x:c>
      <x:c r="K386" s="11" t="n">
        <x:v>456</x:v>
      </x:c>
      <x:c r="L386" s="11" t="n">
        <x:v>8.67</x:v>
      </x:c>
      <x:c r="M386" s="11" t="n">
        <x:v>3588</x:v>
      </x:c>
      <x:c r="N386" s="11" t="n">
        <x:v>3749</x:v>
      </x:c>
      <x:c r="O386" s="11" t="n">
        <x:v>3557</x:v>
      </x:c>
      <x:c r="P386" s="11" t="n">
        <x:v>192</x:v>
      </x:c>
    </x:row>
    <x:row r="387">
      <x:c r="A387" s="11" t="n">
        <x:v>386</x:v>
      </x:c>
      <x:c r="B387" s="11" t="str">
        <x:v>2026-08-21</x:v>
      </x:c>
      <x:c r="C387" s="11" t="str">
        <x:v>L3</x:v>
      </x:c>
      <x:c r="D387" s="11" t="str">
        <x:v>Empaque</x:v>
      </x:c>
      <x:c r="E387" s="11" t="str">
        <x:v>Vespertino</x:v>
      </x:c>
      <x:c r="F387" s="11" t="str">
        <x:v>P003</x:v>
      </x:c>
      <x:c r="G387" s="11" t="str">
        <x:v>Producto Gamma</x:v>
      </x:c>
      <x:c r="H387" s="11" t="n">
        <x:v>480</x:v>
      </x:c>
      <x:c r="I387" s="11" t="n">
        <x:v>31</x:v>
      </x:c>
      <x:c r="J387" s="11" t="n">
        <x:v>3</x:v>
      </x:c>
      <x:c r="K387" s="11" t="n">
        <x:v>446</x:v>
      </x:c>
      <x:c r="L387" s="11" t="n">
        <x:v>8.67</x:v>
      </x:c>
      <x:c r="M387" s="11" t="n">
        <x:v>3502</x:v>
      </x:c>
      <x:c r="N387" s="11" t="n">
        <x:v>3249</x:v>
      </x:c>
      <x:c r="O387" s="11" t="n">
        <x:v>3074</x:v>
      </x:c>
      <x:c r="P387" s="11" t="n">
        <x:v>175</x:v>
      </x:c>
    </x:row>
    <x:row r="388">
      <x:c r="A388" s="11" t="n">
        <x:v>387</x:v>
      </x:c>
      <x:c r="B388" s="11" t="str">
        <x:v>2026-08-21</x:v>
      </x:c>
      <x:c r="C388" s="11" t="str">
        <x:v>L4</x:v>
      </x:c>
      <x:c r="D388" s="11" t="str">
        <x:v>Etiquetado</x:v>
      </x:c>
      <x:c r="E388" s="11" t="str">
        <x:v>Matutino</x:v>
      </x:c>
      <x:c r="F388" s="11" t="str">
        <x:v>P002</x:v>
      </x:c>
      <x:c r="G388" s="11" t="str">
        <x:v>Producto Beta</x:v>
      </x:c>
      <x:c r="H388" s="11" t="n">
        <x:v>480</x:v>
      </x:c>
      <x:c r="I388" s="11" t="n">
        <x:v>30</x:v>
      </x:c>
      <x:c r="J388" s="11" t="n">
        <x:v>36</x:v>
      </x:c>
      <x:c r="K388" s="11" t="n">
        <x:v>414</x:v>
      </x:c>
      <x:c r="L388" s="11" t="n">
        <x:v>10</x:v>
      </x:c>
      <x:c r="M388" s="11" t="n">
        <x:v>4050</x:v>
      </x:c>
      <x:c r="N388" s="11" t="n">
        <x:v>3603</x:v>
      </x:c>
      <x:c r="O388" s="11" t="n">
        <x:v>3331</x:v>
      </x:c>
      <x:c r="P388" s="11" t="n">
        <x:v>272</x:v>
      </x:c>
    </x:row>
    <x:row r="389">
      <x:c r="A389" s="11" t="n">
        <x:v>388</x:v>
      </x:c>
      <x:c r="B389" s="11" t="str">
        <x:v>2026-08-21</x:v>
      </x:c>
      <x:c r="C389" s="11" t="str">
        <x:v>L4</x:v>
      </x:c>
      <x:c r="D389" s="11" t="str">
        <x:v>Etiquetado</x:v>
      </x:c>
      <x:c r="E389" s="11" t="str">
        <x:v>Vespertino</x:v>
      </x:c>
      <x:c r="F389" s="11" t="str">
        <x:v>P003</x:v>
      </x:c>
      <x:c r="G389" s="11" t="str">
        <x:v>Producto Gamma</x:v>
      </x:c>
      <x:c r="H389" s="11" t="n">
        <x:v>480</x:v>
      </x:c>
      <x:c r="I389" s="11" t="n">
        <x:v>24</x:v>
      </x:c>
      <x:c r="J389" s="11" t="n">
        <x:v>0</x:v>
      </x:c>
      <x:c r="K389" s="11" t="n">
        <x:v>456</x:v>
      </x:c>
      <x:c r="L389" s="11" t="n">
        <x:v>10</x:v>
      </x:c>
      <x:c r="M389" s="11" t="n">
        <x:v>4104</x:v>
      </x:c>
      <x:c r="N389" s="11" t="n">
        <x:v>4245</x:v>
      </x:c>
      <x:c r="O389" s="11" t="n">
        <x:v>3954</x:v>
      </x:c>
      <x:c r="P389" s="11" t="n">
        <x:v>291</x:v>
      </x:c>
    </x:row>
    <x:row r="390">
      <x:c r="A390" s="11" t="n">
        <x:v>389</x:v>
      </x:c>
      <x:c r="B390" s="11" t="str">
        <x:v>2026-08-22</x:v>
      </x:c>
      <x:c r="C390" s="11" t="str">
        <x:v>L1</x:v>
      </x:c>
      <x:c r="D390" s="11" t="str">
        <x:v>Envasado A</x:v>
      </x:c>
      <x:c r="E390" s="11" t="str">
        <x:v>Matutino</x:v>
      </x:c>
      <x:c r="F390" s="11" t="str">
        <x:v>P003</x:v>
      </x:c>
      <x:c r="G390" s="11" t="str">
        <x:v>Producto Gamma</x:v>
      </x:c>
      <x:c r="H390" s="11" t="n">
        <x:v>480</x:v>
      </x:c>
      <x:c r="I390" s="11" t="n">
        <x:v>35</x:v>
      </x:c>
      <x:c r="J390" s="11" t="n">
        <x:v>52</x:v>
      </x:c>
      <x:c r="K390" s="11" t="n">
        <x:v>393</x:v>
      </x:c>
      <x:c r="L390" s="11" t="n">
        <x:v>8</x:v>
      </x:c>
      <x:c r="M390" s="11" t="n">
        <x:v>3204</x:v>
      </x:c>
      <x:c r="N390" s="11" t="n">
        <x:v>2887</x:v>
      </x:c>
      <x:c r="O390" s="11" t="n">
        <x:v>2801</x:v>
      </x:c>
      <x:c r="P390" s="11" t="n">
        <x:v>86</x:v>
      </x:c>
    </x:row>
    <x:row r="391">
      <x:c r="A391" s="11" t="n">
        <x:v>390</x:v>
      </x:c>
      <x:c r="B391" s="11" t="str">
        <x:v>2026-08-22</x:v>
      </x:c>
      <x:c r="C391" s="11" t="str">
        <x:v>L1</x:v>
      </x:c>
      <x:c r="D391" s="11" t="str">
        <x:v>Envasado A</x:v>
      </x:c>
      <x:c r="E391" s="11" t="str">
        <x:v>Vespertino</x:v>
      </x:c>
      <x:c r="F391" s="11" t="str">
        <x:v>P003</x:v>
      </x:c>
      <x:c r="G391" s="11" t="str">
        <x:v>Producto Gamma</x:v>
      </x:c>
      <x:c r="H391" s="11" t="n">
        <x:v>480</x:v>
      </x:c>
      <x:c r="I391" s="11" t="n">
        <x:v>33</x:v>
      </x:c>
      <x:c r="J391" s="11" t="n">
        <x:v>20</x:v>
      </x:c>
      <x:c r="K391" s="11" t="n">
        <x:v>427</x:v>
      </x:c>
      <x:c r="L391" s="11" t="n">
        <x:v>8</x:v>
      </x:c>
      <x:c r="M391" s="11" t="n">
        <x:v>3218</x:v>
      </x:c>
      <x:c r="N391" s="11" t="n">
        <x:v>3115</x:v>
      </x:c>
      <x:c r="O391" s="11" t="n">
        <x:v>2971</x:v>
      </x:c>
      <x:c r="P391" s="11" t="n">
        <x:v>144</x:v>
      </x:c>
    </x:row>
    <x:row r="392">
      <x:c r="A392" s="11" t="n">
        <x:v>391</x:v>
      </x:c>
      <x:c r="B392" s="11" t="str">
        <x:v>2026-08-22</x:v>
      </x:c>
      <x:c r="C392" s="11" t="str">
        <x:v>L2</x:v>
      </x:c>
      <x:c r="D392" s="11" t="str">
        <x:v>Envasado B</x:v>
      </x:c>
      <x:c r="E392" s="11" t="str">
        <x:v>Matutino</x:v>
      </x:c>
      <x:c r="F392" s="11" t="str">
        <x:v>P002</x:v>
      </x:c>
      <x:c r="G392" s="11" t="str">
        <x:v>Producto Beta</x:v>
      </x:c>
      <x:c r="H392" s="11" t="n">
        <x:v>480</x:v>
      </x:c>
      <x:c r="I392" s="11" t="n">
        <x:v>20</x:v>
      </x:c>
      <x:c r="J392" s="11" t="n">
        <x:v>0</x:v>
      </x:c>
      <x:c r="K392" s="11" t="n">
        <x:v>460</x:v>
      </x:c>
      <x:c r="L392" s="11" t="n">
        <x:v>7.5</x:v>
      </x:c>
      <x:c r="M392" s="11" t="n">
        <x:v>3105</x:v>
      </x:c>
      <x:c r="N392" s="11" t="n">
        <x:v>3101</x:v>
      </x:c>
      <x:c r="O392" s="11" t="n">
        <x:v>2920</x:v>
      </x:c>
      <x:c r="P392" s="11" t="n">
        <x:v>181</x:v>
      </x:c>
    </x:row>
    <x:row r="393">
      <x:c r="A393" s="11" t="n">
        <x:v>392</x:v>
      </x:c>
      <x:c r="B393" s="11" t="str">
        <x:v>2026-08-22</x:v>
      </x:c>
      <x:c r="C393" s="11" t="str">
        <x:v>L2</x:v>
      </x:c>
      <x:c r="D393" s="11" t="str">
        <x:v>Envasado B</x:v>
      </x:c>
      <x:c r="E393" s="11" t="str">
        <x:v>Vespertino</x:v>
      </x:c>
      <x:c r="F393" s="11" t="str">
        <x:v>P003</x:v>
      </x:c>
      <x:c r="G393" s="11" t="str">
        <x:v>Producto Gamma</x:v>
      </x:c>
      <x:c r="H393" s="11" t="n">
        <x:v>480</x:v>
      </x:c>
      <x:c r="I393" s="11" t="n">
        <x:v>22</x:v>
      </x:c>
      <x:c r="J393" s="11" t="n">
        <x:v>6</x:v>
      </x:c>
      <x:c r="K393" s="11" t="n">
        <x:v>452</x:v>
      </x:c>
      <x:c r="L393" s="11" t="n">
        <x:v>7.5</x:v>
      </x:c>
      <x:c r="M393" s="11" t="n">
        <x:v>3091</x:v>
      </x:c>
      <x:c r="N393" s="11" t="n">
        <x:v>3448</x:v>
      </x:c>
      <x:c r="O393" s="11" t="n">
        <x:v>3295</x:v>
      </x:c>
      <x:c r="P393" s="11" t="n">
        <x:v>153</x:v>
      </x:c>
    </x:row>
    <x:row r="394">
      <x:c r="A394" s="11" t="n">
        <x:v>393</x:v>
      </x:c>
      <x:c r="B394" s="11" t="str">
        <x:v>2026-08-22</x:v>
      </x:c>
      <x:c r="C394" s="11" t="str">
        <x:v>L3</x:v>
      </x:c>
      <x:c r="D394" s="11" t="str">
        <x:v>Empaque</x:v>
      </x:c>
      <x:c r="E394" s="11" t="str">
        <x:v>Matutino</x:v>
      </x:c>
      <x:c r="F394" s="11" t="str">
        <x:v>P001</x:v>
      </x:c>
      <x:c r="G394" s="11" t="str">
        <x:v>Producto Alfa</x:v>
      </x:c>
      <x:c r="H394" s="11" t="n">
        <x:v>480</x:v>
      </x:c>
      <x:c r="I394" s="11" t="n">
        <x:v>21</x:v>
      </x:c>
      <x:c r="J394" s="11" t="n">
        <x:v>46</x:v>
      </x:c>
      <x:c r="K394" s="11" t="n">
        <x:v>413</x:v>
      </x:c>
      <x:c r="L394" s="11" t="n">
        <x:v>8.67</x:v>
      </x:c>
      <x:c r="M394" s="11" t="n">
        <x:v>3580</x:v>
      </x:c>
      <x:c r="N394" s="11" t="n">
        <x:v>3273</x:v>
      </x:c>
      <x:c r="O394" s="11" t="n">
        <x:v>3176</x:v>
      </x:c>
      <x:c r="P394" s="11" t="n">
        <x:v>97</x:v>
      </x:c>
    </x:row>
    <x:row r="395">
      <x:c r="A395" s="11" t="n">
        <x:v>394</x:v>
      </x:c>
      <x:c r="B395" s="11" t="str">
        <x:v>2026-08-22</x:v>
      </x:c>
      <x:c r="C395" s="11" t="str">
        <x:v>L3</x:v>
      </x:c>
      <x:c r="D395" s="11" t="str">
        <x:v>Empaque</x:v>
      </x:c>
      <x:c r="E395" s="11" t="str">
        <x:v>Vespertino</x:v>
      </x:c>
      <x:c r="F395" s="11" t="str">
        <x:v>P002</x:v>
      </x:c>
      <x:c r="G395" s="11" t="str">
        <x:v>Producto Beta</x:v>
      </x:c>
      <x:c r="H395" s="11" t="n">
        <x:v>480</x:v>
      </x:c>
      <x:c r="I395" s="11" t="n">
        <x:v>31</x:v>
      </x:c>
      <x:c r="J395" s="11" t="n">
        <x:v>55</x:v>
      </x:c>
      <x:c r="K395" s="11" t="n">
        <x:v>394</x:v>
      </x:c>
      <x:c r="L395" s="11" t="n">
        <x:v>8.67</x:v>
      </x:c>
      <x:c r="M395" s="11" t="n">
        <x:v>3502</x:v>
      </x:c>
      <x:c r="N395" s="11" t="n">
        <x:v>3161</x:v>
      </x:c>
      <x:c r="O395" s="11" t="n">
        <x:v>2887</x:v>
      </x:c>
      <x:c r="P395" s="11" t="n">
        <x:v>274</x:v>
      </x:c>
    </x:row>
    <x:row r="396">
      <x:c r="A396" s="11" t="n">
        <x:v>395</x:v>
      </x:c>
      <x:c r="B396" s="11" t="str">
        <x:v>2026-08-22</x:v>
      </x:c>
      <x:c r="C396" s="11" t="str">
        <x:v>L4</x:v>
      </x:c>
      <x:c r="D396" s="11" t="str">
        <x:v>Etiquetado</x:v>
      </x:c>
      <x:c r="E396" s="11" t="str">
        <x:v>Matutino</x:v>
      </x:c>
      <x:c r="F396" s="11" t="str">
        <x:v>P003</x:v>
      </x:c>
      <x:c r="G396" s="11" t="str">
        <x:v>Producto Gamma</x:v>
      </x:c>
      <x:c r="H396" s="11" t="n">
        <x:v>480</x:v>
      </x:c>
      <x:c r="I396" s="11" t="n">
        <x:v>16</x:v>
      </x:c>
      <x:c r="J396" s="11" t="n">
        <x:v>20</x:v>
      </x:c>
      <x:c r="K396" s="11" t="n">
        <x:v>444</x:v>
      </x:c>
      <x:c r="L396" s="11" t="n">
        <x:v>10</x:v>
      </x:c>
      <x:c r="M396" s="11" t="n">
        <x:v>4176</x:v>
      </x:c>
      <x:c r="N396" s="11" t="n">
        <x:v>3808</x:v>
      </x:c>
      <x:c r="O396" s="11" t="n">
        <x:v>3467</x:v>
      </x:c>
      <x:c r="P396" s="11" t="n">
        <x:v>341</x:v>
      </x:c>
    </x:row>
    <x:row r="397">
      <x:c r="A397" s="11" t="n">
        <x:v>396</x:v>
      </x:c>
      <x:c r="B397" s="11" t="str">
        <x:v>2026-08-22</x:v>
      </x:c>
      <x:c r="C397" s="11" t="str">
        <x:v>L4</x:v>
      </x:c>
      <x:c r="D397" s="11" t="str">
        <x:v>Etiquetado</x:v>
      </x:c>
      <x:c r="E397" s="11" t="str">
        <x:v>Vespertino</x:v>
      </x:c>
      <x:c r="F397" s="11" t="str">
        <x:v>P002</x:v>
      </x:c>
      <x:c r="G397" s="11" t="str">
        <x:v>Producto Beta</x:v>
      </x:c>
      <x:c r="H397" s="11" t="n">
        <x:v>480</x:v>
      </x:c>
      <x:c r="I397" s="11" t="n">
        <x:v>31</x:v>
      </x:c>
      <x:c r="J397" s="11" t="n">
        <x:v>0</x:v>
      </x:c>
      <x:c r="K397" s="11" t="n">
        <x:v>449</x:v>
      </x:c>
      <x:c r="L397" s="11" t="n">
        <x:v>10</x:v>
      </x:c>
      <x:c r="M397" s="11" t="n">
        <x:v>4041</x:v>
      </x:c>
      <x:c r="N397" s="11" t="n">
        <x:v>3723</x:v>
      </x:c>
      <x:c r="O397" s="11" t="n">
        <x:v>3577</x:v>
      </x:c>
      <x:c r="P397" s="11" t="n">
        <x:v>146</x:v>
      </x:c>
    </x:row>
    <x:row r="398">
      <x:c r="A398" s="11" t="n">
        <x:v>397</x:v>
      </x:c>
      <x:c r="B398" s="11" t="str">
        <x:v>2026-08-23</x:v>
      </x:c>
      <x:c r="C398" s="11" t="str">
        <x:v>L1</x:v>
      </x:c>
      <x:c r="D398" s="11" t="str">
        <x:v>Envasado A</x:v>
      </x:c>
      <x:c r="E398" s="11" t="str">
        <x:v>Matutino</x:v>
      </x:c>
      <x:c r="F398" s="11" t="str">
        <x:v>P002</x:v>
      </x:c>
      <x:c r="G398" s="11" t="str">
        <x:v>Producto Beta</x:v>
      </x:c>
      <x:c r="H398" s="11" t="n">
        <x:v>480</x:v>
      </x:c>
      <x:c r="I398" s="11" t="n">
        <x:v>32</x:v>
      </x:c>
      <x:c r="J398" s="11" t="n">
        <x:v>16</x:v>
      </x:c>
      <x:c r="K398" s="11" t="n">
        <x:v>432</x:v>
      </x:c>
      <x:c r="L398" s="11" t="n">
        <x:v>8</x:v>
      </x:c>
      <x:c r="M398" s="11" t="n">
        <x:v>3225</x:v>
      </x:c>
      <x:c r="N398" s="11" t="n">
        <x:v>3266</x:v>
      </x:c>
      <x:c r="O398" s="11" t="n">
        <x:v>3078</x:v>
      </x:c>
      <x:c r="P398" s="11" t="n">
        <x:v>188</x:v>
      </x:c>
    </x:row>
    <x:row r="399">
      <x:c r="A399" s="11" t="n">
        <x:v>398</x:v>
      </x:c>
      <x:c r="B399" s="11" t="str">
        <x:v>2026-08-23</x:v>
      </x:c>
      <x:c r="C399" s="11" t="str">
        <x:v>L1</x:v>
      </x:c>
      <x:c r="D399" s="11" t="str">
        <x:v>Envasado A</x:v>
      </x:c>
      <x:c r="E399" s="11" t="str">
        <x:v>Vespertino</x:v>
      </x:c>
      <x:c r="F399" s="11" t="str">
        <x:v>P003</x:v>
      </x:c>
      <x:c r="G399" s="11" t="str">
        <x:v>Producto Gamma</x:v>
      </x:c>
      <x:c r="H399" s="11" t="n">
        <x:v>480</x:v>
      </x:c>
      <x:c r="I399" s="11" t="n">
        <x:v>23</x:v>
      </x:c>
      <x:c r="J399" s="11" t="n">
        <x:v>0</x:v>
      </x:c>
      <x:c r="K399" s="11" t="n">
        <x:v>457</x:v>
      </x:c>
      <x:c r="L399" s="11" t="n">
        <x:v>8</x:v>
      </x:c>
      <x:c r="M399" s="11" t="n">
        <x:v>3290</x:v>
      </x:c>
      <x:c r="N399" s="11" t="n">
        <x:v>3244</x:v>
      </x:c>
      <x:c r="O399" s="11" t="n">
        <x:v>3065</x:v>
      </x:c>
      <x:c r="P399" s="11" t="n">
        <x:v>179</x:v>
      </x:c>
    </x:row>
    <x:row r="400">
      <x:c r="A400" s="11" t="n">
        <x:v>399</x:v>
      </x:c>
      <x:c r="B400" s="11" t="str">
        <x:v>2026-08-23</x:v>
      </x:c>
      <x:c r="C400" s="11" t="str">
        <x:v>L2</x:v>
      </x:c>
      <x:c r="D400" s="11" t="str">
        <x:v>Envasado B</x:v>
      </x:c>
      <x:c r="E400" s="11" t="str">
        <x:v>Matutino</x:v>
      </x:c>
      <x:c r="F400" s="11" t="str">
        <x:v>P001</x:v>
      </x:c>
      <x:c r="G400" s="11" t="str">
        <x:v>Producto Alfa</x:v>
      </x:c>
      <x:c r="H400" s="11" t="n">
        <x:v>480</x:v>
      </x:c>
      <x:c r="I400" s="11" t="n">
        <x:v>23</x:v>
      </x:c>
      <x:c r="J400" s="11" t="n">
        <x:v>13</x:v>
      </x:c>
      <x:c r="K400" s="11" t="n">
        <x:v>444</x:v>
      </x:c>
      <x:c r="L400" s="11" t="n">
        <x:v>7.5</x:v>
      </x:c>
      <x:c r="M400" s="11" t="n">
        <x:v>3084</x:v>
      </x:c>
      <x:c r="N400" s="11" t="n">
        <x:v>2992</x:v>
      </x:c>
      <x:c r="O400" s="11" t="n">
        <x:v>2902</x:v>
      </x:c>
      <x:c r="P400" s="11" t="n">
        <x:v>90</x:v>
      </x:c>
    </x:row>
    <x:row r="401">
      <x:c r="A401" s="11" t="n">
        <x:v>400</x:v>
      </x:c>
      <x:c r="B401" s="11" t="str">
        <x:v>2026-08-23</x:v>
      </x:c>
      <x:c r="C401" s="11" t="str">
        <x:v>L2</x:v>
      </x:c>
      <x:c r="D401" s="11" t="str">
        <x:v>Envasado B</x:v>
      </x:c>
      <x:c r="E401" s="11" t="str">
        <x:v>Vespertino</x:v>
      </x:c>
      <x:c r="F401" s="11" t="str">
        <x:v>P002</x:v>
      </x:c>
      <x:c r="G401" s="11" t="str">
        <x:v>Producto Beta</x:v>
      </x:c>
      <x:c r="H401" s="11" t="n">
        <x:v>480</x:v>
      </x:c>
      <x:c r="I401" s="11" t="n">
        <x:v>21</x:v>
      </x:c>
      <x:c r="J401" s="11" t="n">
        <x:v>24</x:v>
      </x:c>
      <x:c r="K401" s="11" t="n">
        <x:v>435</x:v>
      </x:c>
      <x:c r="L401" s="11" t="n">
        <x:v>7.5</x:v>
      </x:c>
      <x:c r="M401" s="11" t="n">
        <x:v>3098</x:v>
      </x:c>
      <x:c r="N401" s="11" t="n">
        <x:v>2906</x:v>
      </x:c>
      <x:c r="O401" s="11" t="n">
        <x:v>2694</x:v>
      </x:c>
      <x:c r="P401" s="11" t="n">
        <x:v>212</x:v>
      </x:c>
    </x:row>
    <x:row r="402">
      <x:c r="A402" s="11" t="n">
        <x:v>401</x:v>
      </x:c>
      <x:c r="B402" s="11" t="str">
        <x:v>2026-08-24</x:v>
      </x:c>
      <x:c r="C402" s="11" t="str">
        <x:v>L1</x:v>
      </x:c>
      <x:c r="D402" s="11" t="str">
        <x:v>Envasado A</x:v>
      </x:c>
      <x:c r="E402" s="11" t="str">
        <x:v>Matutino</x:v>
      </x:c>
      <x:c r="F402" s="11" t="str">
        <x:v>P002</x:v>
      </x:c>
      <x:c r="G402" s="11" t="str">
        <x:v>Producto Beta</x:v>
      </x:c>
      <x:c r="H402" s="11" t="n">
        <x:v>480</x:v>
      </x:c>
      <x:c r="I402" s="11" t="n">
        <x:v>26</x:v>
      </x:c>
      <x:c r="J402" s="11" t="n">
        <x:v>0</x:v>
      </x:c>
      <x:c r="K402" s="11" t="n">
        <x:v>454</x:v>
      </x:c>
      <x:c r="L402" s="11" t="n">
        <x:v>8</x:v>
      </x:c>
      <x:c r="M402" s="11" t="n">
        <x:v>3268</x:v>
      </x:c>
      <x:c r="N402" s="11" t="n">
        <x:v>3163</x:v>
      </x:c>
      <x:c r="O402" s="11" t="n">
        <x:v>2967</x:v>
      </x:c>
      <x:c r="P402" s="11" t="n">
        <x:v>196</x:v>
      </x:c>
    </x:row>
    <x:row r="403">
      <x:c r="A403" s="11" t="n">
        <x:v>402</x:v>
      </x:c>
      <x:c r="B403" s="11" t="str">
        <x:v>2026-08-24</x:v>
      </x:c>
      <x:c r="C403" s="11" t="str">
        <x:v>L1</x:v>
      </x:c>
      <x:c r="D403" s="11" t="str">
        <x:v>Envasado A</x:v>
      </x:c>
      <x:c r="E403" s="11" t="str">
        <x:v>Vespertino</x:v>
      </x:c>
      <x:c r="F403" s="11" t="str">
        <x:v>P003</x:v>
      </x:c>
      <x:c r="G403" s="11" t="str">
        <x:v>Producto Gamma</x:v>
      </x:c>
      <x:c r="H403" s="11" t="n">
        <x:v>480</x:v>
      </x:c>
      <x:c r="I403" s="11" t="n">
        <x:v>32</x:v>
      </x:c>
      <x:c r="J403" s="11" t="n">
        <x:v>10</x:v>
      </x:c>
      <x:c r="K403" s="11" t="n">
        <x:v>438</x:v>
      </x:c>
      <x:c r="L403" s="11" t="n">
        <x:v>8</x:v>
      </x:c>
      <x:c r="M403" s="11" t="n">
        <x:v>3225</x:v>
      </x:c>
      <x:c r="N403" s="11" t="n">
        <x:v>2867</x:v>
      </x:c>
      <x:c r="O403" s="11" t="n">
        <x:v>2789</x:v>
      </x:c>
      <x:c r="P403" s="11" t="n">
        <x:v>78</x:v>
      </x:c>
    </x:row>
    <x:row r="404">
      <x:c r="A404" s="11" t="n">
        <x:v>403</x:v>
      </x:c>
      <x:c r="B404" s="11" t="str">
        <x:v>2026-08-24</x:v>
      </x:c>
      <x:c r="C404" s="11" t="str">
        <x:v>L2</x:v>
      </x:c>
      <x:c r="D404" s="11" t="str">
        <x:v>Envasado B</x:v>
      </x:c>
      <x:c r="E404" s="11" t="str">
        <x:v>Matutino</x:v>
      </x:c>
      <x:c r="F404" s="11" t="str">
        <x:v>P002</x:v>
      </x:c>
      <x:c r="G404" s="11" t="str">
        <x:v>Producto Beta</x:v>
      </x:c>
      <x:c r="H404" s="11" t="n">
        <x:v>480</x:v>
      </x:c>
      <x:c r="I404" s="11" t="n">
        <x:v>19</x:v>
      </x:c>
      <x:c r="J404" s="11" t="n">
        <x:v>23</x:v>
      </x:c>
      <x:c r="K404" s="11" t="n">
        <x:v>438</x:v>
      </x:c>
      <x:c r="L404" s="11" t="n">
        <x:v>7.5</x:v>
      </x:c>
      <x:c r="M404" s="11" t="n">
        <x:v>3111</x:v>
      </x:c>
      <x:c r="N404" s="11" t="n">
        <x:v>3107</x:v>
      </x:c>
      <x:c r="O404" s="11" t="n">
        <x:v>2912</x:v>
      </x:c>
      <x:c r="P404" s="11" t="n">
        <x:v>195</x:v>
      </x:c>
    </x:row>
    <x:row r="405">
      <x:c r="A405" s="11" t="n">
        <x:v>404</x:v>
      </x:c>
      <x:c r="B405" s="11" t="str">
        <x:v>2026-08-24</x:v>
      </x:c>
      <x:c r="C405" s="11" t="str">
        <x:v>L2</x:v>
      </x:c>
      <x:c r="D405" s="11" t="str">
        <x:v>Envasado B</x:v>
      </x:c>
      <x:c r="E405" s="11" t="str">
        <x:v>Vespertino</x:v>
      </x:c>
      <x:c r="F405" s="11" t="str">
        <x:v>P002</x:v>
      </x:c>
      <x:c r="G405" s="11" t="str">
        <x:v>Producto Beta</x:v>
      </x:c>
      <x:c r="H405" s="11" t="n">
        <x:v>480</x:v>
      </x:c>
      <x:c r="I405" s="11" t="n">
        <x:v>35</x:v>
      </x:c>
      <x:c r="J405" s="11" t="n">
        <x:v>8</x:v>
      </x:c>
      <x:c r="K405" s="11" t="n">
        <x:v>437</x:v>
      </x:c>
      <x:c r="L405" s="11" t="n">
        <x:v>7.5</x:v>
      </x:c>
      <x:c r="M405" s="11" t="n">
        <x:v>3003</x:v>
      </x:c>
      <x:c r="N405" s="11" t="n">
        <x:v>2975</x:v>
      </x:c>
      <x:c r="O405" s="11" t="n">
        <x:v>2837</x:v>
      </x:c>
      <x:c r="P405" s="11" t="n">
        <x:v>138</x:v>
      </x:c>
    </x:row>
    <x:row r="406">
      <x:c r="A406" s="11" t="n">
        <x:v>405</x:v>
      </x:c>
      <x:c r="B406" s="11" t="str">
        <x:v>2026-08-24</x:v>
      </x:c>
      <x:c r="C406" s="11" t="str">
        <x:v>L3</x:v>
      </x:c>
      <x:c r="D406" s="11" t="str">
        <x:v>Empaque</x:v>
      </x:c>
      <x:c r="E406" s="11" t="str">
        <x:v>Matutino</x:v>
      </x:c>
      <x:c r="F406" s="11" t="str">
        <x:v>P001</x:v>
      </x:c>
      <x:c r="G406" s="11" t="str">
        <x:v>Producto Alfa</x:v>
      </x:c>
      <x:c r="H406" s="11" t="n">
        <x:v>480</x:v>
      </x:c>
      <x:c r="I406" s="11" t="n">
        <x:v>32</x:v>
      </x:c>
      <x:c r="J406" s="11" t="n">
        <x:v>24</x:v>
      </x:c>
      <x:c r="K406" s="11" t="n">
        <x:v>424</x:v>
      </x:c>
      <x:c r="L406" s="11" t="n">
        <x:v>8.67</x:v>
      </x:c>
      <x:c r="M406" s="11" t="n">
        <x:v>3494</x:v>
      </x:c>
      <x:c r="N406" s="11" t="n">
        <x:v>3554</x:v>
      </x:c>
      <x:c r="O406" s="11" t="n">
        <x:v>3409</x:v>
      </x:c>
      <x:c r="P406" s="11" t="n">
        <x:v>145</x:v>
      </x:c>
    </x:row>
    <x:row r="407">
      <x:c r="A407" s="11" t="n">
        <x:v>406</x:v>
      </x:c>
      <x:c r="B407" s="11" t="str">
        <x:v>2026-08-24</x:v>
      </x:c>
      <x:c r="C407" s="11" t="str">
        <x:v>L3</x:v>
      </x:c>
      <x:c r="D407" s="11" t="str">
        <x:v>Empaque</x:v>
      </x:c>
      <x:c r="E407" s="11" t="str">
        <x:v>Vespertino</x:v>
      </x:c>
      <x:c r="F407" s="11" t="str">
        <x:v>P003</x:v>
      </x:c>
      <x:c r="G407" s="11" t="str">
        <x:v>Producto Gamma</x:v>
      </x:c>
      <x:c r="H407" s="11" t="n">
        <x:v>480</x:v>
      </x:c>
      <x:c r="I407" s="11" t="n">
        <x:v>33</x:v>
      </x:c>
      <x:c r="J407" s="11" t="n">
        <x:v>38</x:v>
      </x:c>
      <x:c r="K407" s="11" t="n">
        <x:v>409</x:v>
      </x:c>
      <x:c r="L407" s="11" t="n">
        <x:v>8.67</x:v>
      </x:c>
      <x:c r="M407" s="11" t="n">
        <x:v>3486</x:v>
      </x:c>
      <x:c r="N407" s="11" t="n">
        <x:v>3229</x:v>
      </x:c>
      <x:c r="O407" s="11" t="n">
        <x:v>3080</x:v>
      </x:c>
      <x:c r="P407" s="11" t="n">
        <x:v>149</x:v>
      </x:c>
    </x:row>
    <x:row r="408">
      <x:c r="A408" s="11" t="n">
        <x:v>407</x:v>
      </x:c>
      <x:c r="B408" s="11" t="str">
        <x:v>2026-08-24</x:v>
      </x:c>
      <x:c r="C408" s="11" t="str">
        <x:v>L4</x:v>
      </x:c>
      <x:c r="D408" s="11" t="str">
        <x:v>Etiquetado</x:v>
      </x:c>
      <x:c r="E408" s="11" t="str">
        <x:v>Matutino</x:v>
      </x:c>
      <x:c r="F408" s="11" t="str">
        <x:v>P003</x:v>
      </x:c>
      <x:c r="G408" s="11" t="str">
        <x:v>Producto Gamma</x:v>
      </x:c>
      <x:c r="H408" s="11" t="n">
        <x:v>480</x:v>
      </x:c>
      <x:c r="I408" s="11" t="n">
        <x:v>22</x:v>
      </x:c>
      <x:c r="J408" s="11" t="n">
        <x:v>23</x:v>
      </x:c>
      <x:c r="K408" s="11" t="n">
        <x:v>435</x:v>
      </x:c>
      <x:c r="L408" s="11" t="n">
        <x:v>10</x:v>
      </x:c>
      <x:c r="M408" s="11" t="n">
        <x:v>4122</x:v>
      </x:c>
      <x:c r="N408" s="11" t="n">
        <x:v>3909</x:v>
      </x:c>
      <x:c r="O408" s="11" t="n">
        <x:v>3649</x:v>
      </x:c>
      <x:c r="P408" s="11" t="n">
        <x:v>260</x:v>
      </x:c>
    </x:row>
    <x:row r="409">
      <x:c r="A409" s="11" t="n">
        <x:v>408</x:v>
      </x:c>
      <x:c r="B409" s="11" t="str">
        <x:v>2026-08-24</x:v>
      </x:c>
      <x:c r="C409" s="11" t="str">
        <x:v>L4</x:v>
      </x:c>
      <x:c r="D409" s="11" t="str">
        <x:v>Etiquetado</x:v>
      </x:c>
      <x:c r="E409" s="11" t="str">
        <x:v>Vespertino</x:v>
      </x:c>
      <x:c r="F409" s="11" t="str">
        <x:v>P001</x:v>
      </x:c>
      <x:c r="G409" s="11" t="str">
        <x:v>Producto Alfa</x:v>
      </x:c>
      <x:c r="H409" s="11" t="n">
        <x:v>480</x:v>
      </x:c>
      <x:c r="I409" s="11" t="n">
        <x:v>19</x:v>
      </x:c>
      <x:c r="J409" s="11" t="n">
        <x:v>46</x:v>
      </x:c>
      <x:c r="K409" s="11" t="n">
        <x:v>415</x:v>
      </x:c>
      <x:c r="L409" s="11" t="n">
        <x:v>10</x:v>
      </x:c>
      <x:c r="M409" s="11" t="n">
        <x:v>4149</x:v>
      </x:c>
      <x:c r="N409" s="11" t="n">
        <x:v>4012</x:v>
      </x:c>
      <x:c r="O409" s="11" t="n">
        <x:v>3853</x:v>
      </x:c>
      <x:c r="P409" s="11" t="n">
        <x:v>159</x:v>
      </x:c>
    </x:row>
    <x:row r="410">
      <x:c r="A410" s="11" t="n">
        <x:v>409</x:v>
      </x:c>
      <x:c r="B410" s="11" t="str">
        <x:v>2026-08-25</x:v>
      </x:c>
      <x:c r="C410" s="11" t="str">
        <x:v>L1</x:v>
      </x:c>
      <x:c r="D410" s="11" t="str">
        <x:v>Envasado A</x:v>
      </x:c>
      <x:c r="E410" s="11" t="str">
        <x:v>Matutino</x:v>
      </x:c>
      <x:c r="F410" s="11" t="str">
        <x:v>P001</x:v>
      </x:c>
      <x:c r="G410" s="11" t="str">
        <x:v>Producto Alfa</x:v>
      </x:c>
      <x:c r="H410" s="11" t="n">
        <x:v>480</x:v>
      </x:c>
      <x:c r="I410" s="11" t="n">
        <x:v>28</x:v>
      </x:c>
      <x:c r="J410" s="11" t="n">
        <x:v>2</x:v>
      </x:c>
      <x:c r="K410" s="11" t="n">
        <x:v>450</x:v>
      </x:c>
      <x:c r="L410" s="11" t="n">
        <x:v>8</x:v>
      </x:c>
      <x:c r="M410" s="11" t="n">
        <x:v>3254</x:v>
      </x:c>
      <x:c r="N410" s="11" t="n">
        <x:v>3002</x:v>
      </x:c>
      <x:c r="O410" s="11" t="n">
        <x:v>2830</x:v>
      </x:c>
      <x:c r="P410" s="11" t="n">
        <x:v>172</x:v>
      </x:c>
    </x:row>
    <x:row r="411">
      <x:c r="A411" s="11" t="n">
        <x:v>410</x:v>
      </x:c>
      <x:c r="B411" s="11" t="str">
        <x:v>2026-08-25</x:v>
      </x:c>
      <x:c r="C411" s="11" t="str">
        <x:v>L1</x:v>
      </x:c>
      <x:c r="D411" s="11" t="str">
        <x:v>Envasado A</x:v>
      </x:c>
      <x:c r="E411" s="11" t="str">
        <x:v>Vespertino</x:v>
      </x:c>
      <x:c r="F411" s="11" t="str">
        <x:v>P002</x:v>
      </x:c>
      <x:c r="G411" s="11" t="str">
        <x:v>Producto Beta</x:v>
      </x:c>
      <x:c r="H411" s="11" t="n">
        <x:v>480</x:v>
      </x:c>
      <x:c r="I411" s="11" t="n">
        <x:v>25</x:v>
      </x:c>
      <x:c r="J411" s="11" t="n">
        <x:v>32</x:v>
      </x:c>
      <x:c r="K411" s="11" t="n">
        <x:v>423</x:v>
      </x:c>
      <x:c r="L411" s="11" t="n">
        <x:v>8</x:v>
      </x:c>
      <x:c r="M411" s="11" t="n">
        <x:v>3276</x:v>
      </x:c>
      <x:c r="N411" s="11" t="n">
        <x:v>3067</x:v>
      </x:c>
      <x:c r="O411" s="11" t="n">
        <x:v>2895</x:v>
      </x:c>
      <x:c r="P411" s="11" t="n">
        <x:v>172</x:v>
      </x:c>
    </x:row>
    <x:row r="412">
      <x:c r="A412" s="11" t="n">
        <x:v>411</x:v>
      </x:c>
      <x:c r="B412" s="11" t="str">
        <x:v>2026-08-25</x:v>
      </x:c>
      <x:c r="C412" s="11" t="str">
        <x:v>L2</x:v>
      </x:c>
      <x:c r="D412" s="11" t="str">
        <x:v>Envasado B</x:v>
      </x:c>
      <x:c r="E412" s="11" t="str">
        <x:v>Matutino</x:v>
      </x:c>
      <x:c r="F412" s="11" t="str">
        <x:v>P001</x:v>
      </x:c>
      <x:c r="G412" s="11" t="str">
        <x:v>Producto Alfa</x:v>
      </x:c>
      <x:c r="H412" s="11" t="n">
        <x:v>480</x:v>
      </x:c>
      <x:c r="I412" s="11" t="n">
        <x:v>35</x:v>
      </x:c>
      <x:c r="J412" s="11" t="n">
        <x:v>3</x:v>
      </x:c>
      <x:c r="K412" s="11" t="n">
        <x:v>442</x:v>
      </x:c>
      <x:c r="L412" s="11" t="n">
        <x:v>7.5</x:v>
      </x:c>
      <x:c r="M412" s="11" t="n">
        <x:v>3003</x:v>
      </x:c>
      <x:c r="N412" s="11" t="n">
        <x:v>2933</x:v>
      </x:c>
      <x:c r="O412" s="11" t="n">
        <x:v>2801</x:v>
      </x:c>
      <x:c r="P412" s="11" t="n">
        <x:v>132</x:v>
      </x:c>
    </x:row>
    <x:row r="413">
      <x:c r="A413" s="11" t="n">
        <x:v>412</x:v>
      </x:c>
      <x:c r="B413" s="11" t="str">
        <x:v>2026-08-25</x:v>
      </x:c>
      <x:c r="C413" s="11" t="str">
        <x:v>L2</x:v>
      </x:c>
      <x:c r="D413" s="11" t="str">
        <x:v>Envasado B</x:v>
      </x:c>
      <x:c r="E413" s="11" t="str">
        <x:v>Vespertino</x:v>
      </x:c>
      <x:c r="F413" s="11" t="str">
        <x:v>P001</x:v>
      </x:c>
      <x:c r="G413" s="11" t="str">
        <x:v>Producto Alfa</x:v>
      </x:c>
      <x:c r="H413" s="11" t="n">
        <x:v>480</x:v>
      </x:c>
      <x:c r="I413" s="11" t="n">
        <x:v>28</x:v>
      </x:c>
      <x:c r="J413" s="11" t="n">
        <x:v>0</x:v>
      </x:c>
      <x:c r="K413" s="11" t="n">
        <x:v>452</x:v>
      </x:c>
      <x:c r="L413" s="11" t="n">
        <x:v>7.5</x:v>
      </x:c>
      <x:c r="M413" s="11" t="n">
        <x:v>3051</x:v>
      </x:c>
      <x:c r="N413" s="11" t="n">
        <x:v>3154</x:v>
      </x:c>
      <x:c r="O413" s="11" t="n">
        <x:v>3011</x:v>
      </x:c>
      <x:c r="P413" s="11" t="n">
        <x:v>143</x:v>
      </x:c>
    </x:row>
    <x:row r="414">
      <x:c r="A414" s="11" t="n">
        <x:v>413</x:v>
      </x:c>
      <x:c r="B414" s="11" t="str">
        <x:v>2026-08-25</x:v>
      </x:c>
      <x:c r="C414" s="11" t="str">
        <x:v>L3</x:v>
      </x:c>
      <x:c r="D414" s="11" t="str">
        <x:v>Empaque</x:v>
      </x:c>
      <x:c r="E414" s="11" t="str">
        <x:v>Matutino</x:v>
      </x:c>
      <x:c r="F414" s="11" t="str">
        <x:v>P001</x:v>
      </x:c>
      <x:c r="G414" s="11" t="str">
        <x:v>Producto Alfa</x:v>
      </x:c>
      <x:c r="H414" s="11" t="n">
        <x:v>480</x:v>
      </x:c>
      <x:c r="I414" s="11" t="n">
        <x:v>27</x:v>
      </x:c>
      <x:c r="J414" s="11" t="n">
        <x:v>31</x:v>
      </x:c>
      <x:c r="K414" s="11" t="n">
        <x:v>422</x:v>
      </x:c>
      <x:c r="L414" s="11" t="n">
        <x:v>8.67</x:v>
      </x:c>
      <x:c r="M414" s="11" t="n">
        <x:v>3533</x:v>
      </x:c>
      <x:c r="N414" s="11" t="n">
        <x:v>3225</x:v>
      </x:c>
      <x:c r="O414" s="11" t="n">
        <x:v>3095</x:v>
      </x:c>
      <x:c r="P414" s="11" t="n">
        <x:v>130</x:v>
      </x:c>
    </x:row>
    <x:row r="415">
      <x:c r="A415" s="11" t="n">
        <x:v>414</x:v>
      </x:c>
      <x:c r="B415" s="11" t="str">
        <x:v>2026-08-25</x:v>
      </x:c>
      <x:c r="C415" s="11" t="str">
        <x:v>L3</x:v>
      </x:c>
      <x:c r="D415" s="11" t="str">
        <x:v>Empaque</x:v>
      </x:c>
      <x:c r="E415" s="11" t="str">
        <x:v>Vespertino</x:v>
      </x:c>
      <x:c r="F415" s="11" t="str">
        <x:v>P002</x:v>
      </x:c>
      <x:c r="G415" s="11" t="str">
        <x:v>Producto Beta</x:v>
      </x:c>
      <x:c r="H415" s="11" t="n">
        <x:v>480</x:v>
      </x:c>
      <x:c r="I415" s="11" t="n">
        <x:v>16</x:v>
      </x:c>
      <x:c r="J415" s="11" t="n">
        <x:v>0</x:v>
      </x:c>
      <x:c r="K415" s="11" t="n">
        <x:v>464</x:v>
      </x:c>
      <x:c r="L415" s="11" t="n">
        <x:v>8.67</x:v>
      </x:c>
      <x:c r="M415" s="11" t="n">
        <x:v>3619</x:v>
      </x:c>
      <x:c r="N415" s="11" t="n">
        <x:v>3893</x:v>
      </x:c>
      <x:c r="O415" s="11" t="n">
        <x:v>3662</x:v>
      </x:c>
      <x:c r="P415" s="11" t="n">
        <x:v>231</x:v>
      </x:c>
    </x:row>
    <x:row r="416">
      <x:c r="A416" s="11" t="n">
        <x:v>415</x:v>
      </x:c>
      <x:c r="B416" s="11" t="str">
        <x:v>2026-08-25</x:v>
      </x:c>
      <x:c r="C416" s="11" t="str">
        <x:v>L4</x:v>
      </x:c>
      <x:c r="D416" s="11" t="str">
        <x:v>Etiquetado</x:v>
      </x:c>
      <x:c r="E416" s="11" t="str">
        <x:v>Matutino</x:v>
      </x:c>
      <x:c r="F416" s="11" t="str">
        <x:v>P001</x:v>
      </x:c>
      <x:c r="G416" s="11" t="str">
        <x:v>Producto Alfa</x:v>
      </x:c>
      <x:c r="H416" s="11" t="n">
        <x:v>480</x:v>
      </x:c>
      <x:c r="I416" s="11" t="n">
        <x:v>25</x:v>
      </x:c>
      <x:c r="J416" s="11" t="n">
        <x:v>13</x:v>
      </x:c>
      <x:c r="K416" s="11" t="n">
        <x:v>442</x:v>
      </x:c>
      <x:c r="L416" s="11" t="n">
        <x:v>10</x:v>
      </x:c>
      <x:c r="M416" s="11" t="n">
        <x:v>4095</x:v>
      </x:c>
      <x:c r="N416" s="11" t="n">
        <x:v>4606</x:v>
      </x:c>
      <x:c r="O416" s="11" t="n">
        <x:v>4359</x:v>
      </x:c>
      <x:c r="P416" s="11" t="n">
        <x:v>247</x:v>
      </x:c>
    </x:row>
    <x:row r="417">
      <x:c r="A417" s="11" t="n">
        <x:v>416</x:v>
      </x:c>
      <x:c r="B417" s="11" t="str">
        <x:v>2026-08-25</x:v>
      </x:c>
      <x:c r="C417" s="11" t="str">
        <x:v>L4</x:v>
      </x:c>
      <x:c r="D417" s="11" t="str">
        <x:v>Etiquetado</x:v>
      </x:c>
      <x:c r="E417" s="11" t="str">
        <x:v>Vespertino</x:v>
      </x:c>
      <x:c r="F417" s="11" t="str">
        <x:v>P001</x:v>
      </x:c>
      <x:c r="G417" s="11" t="str">
        <x:v>Producto Alfa</x:v>
      </x:c>
      <x:c r="H417" s="11" t="n">
        <x:v>480</x:v>
      </x:c>
      <x:c r="I417" s="11" t="n">
        <x:v>31</x:v>
      </x:c>
      <x:c r="J417" s="11" t="n">
        <x:v>21</x:v>
      </x:c>
      <x:c r="K417" s="11" t="n">
        <x:v>428</x:v>
      </x:c>
      <x:c r="L417" s="11" t="n">
        <x:v>10</x:v>
      </x:c>
      <x:c r="M417" s="11" t="n">
        <x:v>4041</x:v>
      </x:c>
      <x:c r="N417" s="11" t="n">
        <x:v>3771</x:v>
      </x:c>
      <x:c r="O417" s="11" t="n">
        <x:v>3626</x:v>
      </x:c>
      <x:c r="P417" s="11" t="n">
        <x:v>145</x:v>
      </x:c>
    </x:row>
    <x:row r="418">
      <x:c r="A418" s="11" t="n">
        <x:v>417</x:v>
      </x:c>
      <x:c r="B418" s="11" t="str">
        <x:v>2026-08-26</x:v>
      </x:c>
      <x:c r="C418" s="11" t="str">
        <x:v>L1</x:v>
      </x:c>
      <x:c r="D418" s="11" t="str">
        <x:v>Envasado A</x:v>
      </x:c>
      <x:c r="E418" s="11" t="str">
        <x:v>Matutino</x:v>
      </x:c>
      <x:c r="F418" s="11" t="str">
        <x:v>P001</x:v>
      </x:c>
      <x:c r="G418" s="11" t="str">
        <x:v>Producto Alfa</x:v>
      </x:c>
      <x:c r="H418" s="11" t="n">
        <x:v>480</x:v>
      </x:c>
      <x:c r="I418" s="11" t="n">
        <x:v>25</x:v>
      </x:c>
      <x:c r="J418" s="11" t="n">
        <x:v>40</x:v>
      </x:c>
      <x:c r="K418" s="11" t="n">
        <x:v>415</x:v>
      </x:c>
      <x:c r="L418" s="11" t="n">
        <x:v>8</x:v>
      </x:c>
      <x:c r="M418" s="11" t="n">
        <x:v>3276</x:v>
      </x:c>
      <x:c r="N418" s="11" t="n">
        <x:v>3162</x:v>
      </x:c>
      <x:c r="O418" s="11" t="n">
        <x:v>3034</x:v>
      </x:c>
      <x:c r="P418" s="11" t="n">
        <x:v>128</x:v>
      </x:c>
    </x:row>
    <x:row r="419">
      <x:c r="A419" s="11" t="n">
        <x:v>418</x:v>
      </x:c>
      <x:c r="B419" s="11" t="str">
        <x:v>2026-08-26</x:v>
      </x:c>
      <x:c r="C419" s="11" t="str">
        <x:v>L1</x:v>
      </x:c>
      <x:c r="D419" s="11" t="str">
        <x:v>Envasado A</x:v>
      </x:c>
      <x:c r="E419" s="11" t="str">
        <x:v>Vespertino</x:v>
      </x:c>
      <x:c r="F419" s="11" t="str">
        <x:v>P003</x:v>
      </x:c>
      <x:c r="G419" s="11" t="str">
        <x:v>Producto Gamma</x:v>
      </x:c>
      <x:c r="H419" s="11" t="n">
        <x:v>480</x:v>
      </x:c>
      <x:c r="I419" s="11" t="n">
        <x:v>25</x:v>
      </x:c>
      <x:c r="J419" s="11" t="n">
        <x:v>42</x:v>
      </x:c>
      <x:c r="K419" s="11" t="n">
        <x:v>413</x:v>
      </x:c>
      <x:c r="L419" s="11" t="n">
        <x:v>8</x:v>
      </x:c>
      <x:c r="M419" s="11" t="n">
        <x:v>3276</x:v>
      </x:c>
      <x:c r="N419" s="11" t="n">
        <x:v>3055</x:v>
      </x:c>
      <x:c r="O419" s="11" t="n">
        <x:v>2856</x:v>
      </x:c>
      <x:c r="P419" s="11" t="n">
        <x:v>199</x:v>
      </x:c>
    </x:row>
    <x:row r="420">
      <x:c r="A420" s="11" t="n">
        <x:v>419</x:v>
      </x:c>
      <x:c r="B420" s="11" t="str">
        <x:v>2026-08-26</x:v>
      </x:c>
      <x:c r="C420" s="11" t="str">
        <x:v>L2</x:v>
      </x:c>
      <x:c r="D420" s="11" t="str">
        <x:v>Envasado B</x:v>
      </x:c>
      <x:c r="E420" s="11" t="str">
        <x:v>Matutino</x:v>
      </x:c>
      <x:c r="F420" s="11" t="str">
        <x:v>P001</x:v>
      </x:c>
      <x:c r="G420" s="11" t="str">
        <x:v>Producto Alfa</x:v>
      </x:c>
      <x:c r="H420" s="11" t="n">
        <x:v>480</x:v>
      </x:c>
      <x:c r="I420" s="11" t="n">
        <x:v>20</x:v>
      </x:c>
      <x:c r="J420" s="11" t="n">
        <x:v>3</x:v>
      </x:c>
      <x:c r="K420" s="11" t="n">
        <x:v>457</x:v>
      </x:c>
      <x:c r="L420" s="11" t="n">
        <x:v>7.5</x:v>
      </x:c>
      <x:c r="M420" s="11" t="n">
        <x:v>3105</x:v>
      </x:c>
      <x:c r="N420" s="11" t="n">
        <x:v>2977</x:v>
      </x:c>
      <x:c r="O420" s="11" t="n">
        <x:v>2826</x:v>
      </x:c>
      <x:c r="P420" s="11" t="n">
        <x:v>151</x:v>
      </x:c>
    </x:row>
    <x:row r="421">
      <x:c r="A421" s="11" t="n">
        <x:v>420</x:v>
      </x:c>
      <x:c r="B421" s="11" t="str">
        <x:v>2026-08-26</x:v>
      </x:c>
      <x:c r="C421" s="11" t="str">
        <x:v>L2</x:v>
      </x:c>
      <x:c r="D421" s="11" t="str">
        <x:v>Envasado B</x:v>
      </x:c>
      <x:c r="E421" s="11" t="str">
        <x:v>Vespertino</x:v>
      </x:c>
      <x:c r="F421" s="11" t="str">
        <x:v>P002</x:v>
      </x:c>
      <x:c r="G421" s="11" t="str">
        <x:v>Producto Beta</x:v>
      </x:c>
      <x:c r="H421" s="11" t="n">
        <x:v>480</x:v>
      </x:c>
      <x:c r="I421" s="11" t="n">
        <x:v>17</x:v>
      </x:c>
      <x:c r="J421" s="11" t="n">
        <x:v>41</x:v>
      </x:c>
      <x:c r="K421" s="11" t="n">
        <x:v>422</x:v>
      </x:c>
      <x:c r="L421" s="11" t="n">
        <x:v>7.5</x:v>
      </x:c>
      <x:c r="M421" s="11" t="n">
        <x:v>3125</x:v>
      </x:c>
      <x:c r="N421" s="11" t="n">
        <x:v>2828</x:v>
      </x:c>
      <x:c r="O421" s="11" t="n">
        <x:v>2667</x:v>
      </x:c>
      <x:c r="P421" s="11" t="n">
        <x:v>161</x:v>
      </x:c>
    </x:row>
    <x:row r="422">
      <x:c r="A422" s="11" t="n">
        <x:v>421</x:v>
      </x:c>
      <x:c r="B422" s="11" t="str">
        <x:v>2026-08-26</x:v>
      </x:c>
      <x:c r="C422" s="11" t="str">
        <x:v>L3</x:v>
      </x:c>
      <x:c r="D422" s="11" t="str">
        <x:v>Empaque</x:v>
      </x:c>
      <x:c r="E422" s="11" t="str">
        <x:v>Matutino</x:v>
      </x:c>
      <x:c r="F422" s="11" t="str">
        <x:v>P001</x:v>
      </x:c>
      <x:c r="G422" s="11" t="str">
        <x:v>Producto Alfa</x:v>
      </x:c>
      <x:c r="H422" s="11" t="n">
        <x:v>480</x:v>
      </x:c>
      <x:c r="I422" s="11" t="n">
        <x:v>30</x:v>
      </x:c>
      <x:c r="J422" s="11" t="n">
        <x:v>20</x:v>
      </x:c>
      <x:c r="K422" s="11" t="n">
        <x:v>430</x:v>
      </x:c>
      <x:c r="L422" s="11" t="n">
        <x:v>8.67</x:v>
      </x:c>
      <x:c r="M422" s="11" t="n">
        <x:v>3509</x:v>
      </x:c>
      <x:c r="N422" s="11" t="n">
        <x:v>3504</x:v>
      </x:c>
      <x:c r="O422" s="11" t="n">
        <x:v>3361</x:v>
      </x:c>
      <x:c r="P422" s="11" t="n">
        <x:v>143</x:v>
      </x:c>
    </x:row>
    <x:row r="423">
      <x:c r="A423" s="11" t="n">
        <x:v>422</x:v>
      </x:c>
      <x:c r="B423" s="11" t="str">
        <x:v>2026-08-26</x:v>
      </x:c>
      <x:c r="C423" s="11" t="str">
        <x:v>L3</x:v>
      </x:c>
      <x:c r="D423" s="11" t="str">
        <x:v>Empaque</x:v>
      </x:c>
      <x:c r="E423" s="11" t="str">
        <x:v>Vespertino</x:v>
      </x:c>
      <x:c r="F423" s="11" t="str">
        <x:v>P002</x:v>
      </x:c>
      <x:c r="G423" s="11" t="str">
        <x:v>Producto Beta</x:v>
      </x:c>
      <x:c r="H423" s="11" t="n">
        <x:v>480</x:v>
      </x:c>
      <x:c r="I423" s="11" t="n">
        <x:v>25</x:v>
      </x:c>
      <x:c r="J423" s="11" t="n">
        <x:v>44</x:v>
      </x:c>
      <x:c r="K423" s="11" t="n">
        <x:v>411</x:v>
      </x:c>
      <x:c r="L423" s="11" t="n">
        <x:v>8.67</x:v>
      </x:c>
      <x:c r="M423" s="11" t="n">
        <x:v>3549</x:v>
      </x:c>
      <x:c r="N423" s="11" t="n">
        <x:v>3159</x:v>
      </x:c>
      <x:c r="O423" s="11" t="n">
        <x:v>3026</x:v>
      </x:c>
      <x:c r="P423" s="11" t="n">
        <x:v>133</x:v>
      </x:c>
    </x:row>
    <x:row r="424">
      <x:c r="A424" s="11" t="n">
        <x:v>423</x:v>
      </x:c>
      <x:c r="B424" s="11" t="str">
        <x:v>2026-08-26</x:v>
      </x:c>
      <x:c r="C424" s="11" t="str">
        <x:v>L4</x:v>
      </x:c>
      <x:c r="D424" s="11" t="str">
        <x:v>Etiquetado</x:v>
      </x:c>
      <x:c r="E424" s="11" t="str">
        <x:v>Matutino</x:v>
      </x:c>
      <x:c r="F424" s="11" t="str">
        <x:v>P001</x:v>
      </x:c>
      <x:c r="G424" s="11" t="str">
        <x:v>Producto Alfa</x:v>
      </x:c>
      <x:c r="H424" s="11" t="n">
        <x:v>480</x:v>
      </x:c>
      <x:c r="I424" s="11" t="n">
        <x:v>23</x:v>
      </x:c>
      <x:c r="J424" s="11" t="n">
        <x:v>8</x:v>
      </x:c>
      <x:c r="K424" s="11" t="n">
        <x:v>449</x:v>
      </x:c>
      <x:c r="L424" s="11" t="n">
        <x:v>10</x:v>
      </x:c>
      <x:c r="M424" s="11" t="n">
        <x:v>4113</x:v>
      </x:c>
      <x:c r="N424" s="11" t="n">
        <x:v>3830</x:v>
      </x:c>
      <x:c r="O424" s="11" t="n">
        <x:v>3698</x:v>
      </x:c>
      <x:c r="P424" s="11" t="n">
        <x:v>132</x:v>
      </x:c>
    </x:row>
    <x:row r="425">
      <x:c r="A425" s="11" t="n">
        <x:v>424</x:v>
      </x:c>
      <x:c r="B425" s="11" t="str">
        <x:v>2026-08-26</x:v>
      </x:c>
      <x:c r="C425" s="11" t="str">
        <x:v>L4</x:v>
      </x:c>
      <x:c r="D425" s="11" t="str">
        <x:v>Etiquetado</x:v>
      </x:c>
      <x:c r="E425" s="11" t="str">
        <x:v>Vespertino</x:v>
      </x:c>
      <x:c r="F425" s="11" t="str">
        <x:v>P002</x:v>
      </x:c>
      <x:c r="G425" s="11" t="str">
        <x:v>Producto Beta</x:v>
      </x:c>
      <x:c r="H425" s="11" t="n">
        <x:v>480</x:v>
      </x:c>
      <x:c r="I425" s="11" t="n">
        <x:v>20</x:v>
      </x:c>
      <x:c r="J425" s="11" t="n">
        <x:v>32</x:v>
      </x:c>
      <x:c r="K425" s="11" t="n">
        <x:v>428</x:v>
      </x:c>
      <x:c r="L425" s="11" t="n">
        <x:v>10</x:v>
      </x:c>
      <x:c r="M425" s="11" t="n">
        <x:v>4140</x:v>
      </x:c>
      <x:c r="N425" s="11" t="n">
        <x:v>3706</x:v>
      </x:c>
      <x:c r="O425" s="11" t="n">
        <x:v>3513</x:v>
      </x:c>
      <x:c r="P425" s="11" t="n">
        <x:v>193</x:v>
      </x:c>
    </x:row>
    <x:row r="426">
      <x:c r="A426" s="11" t="n">
        <x:v>425</x:v>
      </x:c>
      <x:c r="B426" s="11" t="str">
        <x:v>2026-08-27</x:v>
      </x:c>
      <x:c r="C426" s="11" t="str">
        <x:v>L1</x:v>
      </x:c>
      <x:c r="D426" s="11" t="str">
        <x:v>Envasado A</x:v>
      </x:c>
      <x:c r="E426" s="11" t="str">
        <x:v>Matutino</x:v>
      </x:c>
      <x:c r="F426" s="11" t="str">
        <x:v>P003</x:v>
      </x:c>
      <x:c r="G426" s="11" t="str">
        <x:v>Producto Gamma</x:v>
      </x:c>
      <x:c r="H426" s="11" t="n">
        <x:v>480</x:v>
      </x:c>
      <x:c r="I426" s="11" t="n">
        <x:v>24</x:v>
      </x:c>
      <x:c r="J426" s="11" t="n">
        <x:v>16</x:v>
      </x:c>
      <x:c r="K426" s="11" t="n">
        <x:v>440</x:v>
      </x:c>
      <x:c r="L426" s="11" t="n">
        <x:v>8</x:v>
      </x:c>
      <x:c r="M426" s="11" t="n">
        <x:v>3283</x:v>
      </x:c>
      <x:c r="N426" s="11" t="n">
        <x:v>2992</x:v>
      </x:c>
      <x:c r="O426" s="11" t="n">
        <x:v>2874</x:v>
      </x:c>
      <x:c r="P426" s="11" t="n">
        <x:v>118</x:v>
      </x:c>
    </x:row>
    <x:row r="427">
      <x:c r="A427" s="11" t="n">
        <x:v>426</x:v>
      </x:c>
      <x:c r="B427" s="11" t="str">
        <x:v>2026-08-27</x:v>
      </x:c>
      <x:c r="C427" s="11" t="str">
        <x:v>L1</x:v>
      </x:c>
      <x:c r="D427" s="11" t="str">
        <x:v>Envasado A</x:v>
      </x:c>
      <x:c r="E427" s="11" t="str">
        <x:v>Vespertino</x:v>
      </x:c>
      <x:c r="F427" s="11" t="str">
        <x:v>P001</x:v>
      </x:c>
      <x:c r="G427" s="11" t="str">
        <x:v>Producto Alfa</x:v>
      </x:c>
      <x:c r="H427" s="11" t="n">
        <x:v>480</x:v>
      </x:c>
      <x:c r="I427" s="11" t="n">
        <x:v>22</x:v>
      </x:c>
      <x:c r="J427" s="11" t="n">
        <x:v>20</x:v>
      </x:c>
      <x:c r="K427" s="11" t="n">
        <x:v>438</x:v>
      </x:c>
      <x:c r="L427" s="11" t="n">
        <x:v>8</x:v>
      </x:c>
      <x:c r="M427" s="11" t="n">
        <x:v>3297</x:v>
      </x:c>
      <x:c r="N427" s="11" t="n">
        <x:v>3362</x:v>
      </x:c>
      <x:c r="O427" s="11" t="n">
        <x:v>3215</x:v>
      </x:c>
      <x:c r="P427" s="11" t="n">
        <x:v>147</x:v>
      </x:c>
    </x:row>
    <x:row r="428">
      <x:c r="A428" s="11" t="n">
        <x:v>427</x:v>
      </x:c>
      <x:c r="B428" s="11" t="str">
        <x:v>2026-08-27</x:v>
      </x:c>
      <x:c r="C428" s="11" t="str">
        <x:v>L2</x:v>
      </x:c>
      <x:c r="D428" s="11" t="str">
        <x:v>Envasado B</x:v>
      </x:c>
      <x:c r="E428" s="11" t="str">
        <x:v>Matutino</x:v>
      </x:c>
      <x:c r="F428" s="11" t="str">
        <x:v>P002</x:v>
      </x:c>
      <x:c r="G428" s="11" t="str">
        <x:v>Producto Beta</x:v>
      </x:c>
      <x:c r="H428" s="11" t="n">
        <x:v>480</x:v>
      </x:c>
      <x:c r="I428" s="11" t="n">
        <x:v>34</x:v>
      </x:c>
      <x:c r="J428" s="11" t="n">
        <x:v>4</x:v>
      </x:c>
      <x:c r="K428" s="11" t="n">
        <x:v>442</x:v>
      </x:c>
      <x:c r="L428" s="11" t="n">
        <x:v>7.5</x:v>
      </x:c>
      <x:c r="M428" s="11" t="n">
        <x:v>3010</x:v>
      </x:c>
      <x:c r="N428" s="11" t="n">
        <x:v>3182</x:v>
      </x:c>
      <x:c r="O428" s="11" t="n">
        <x:v>3045</x:v>
      </x:c>
      <x:c r="P428" s="11" t="n">
        <x:v>137</x:v>
      </x:c>
    </x:row>
    <x:row r="429">
      <x:c r="A429" s="11" t="n">
        <x:v>428</x:v>
      </x:c>
      <x:c r="B429" s="11" t="str">
        <x:v>2026-08-27</x:v>
      </x:c>
      <x:c r="C429" s="11" t="str">
        <x:v>L2</x:v>
      </x:c>
      <x:c r="D429" s="11" t="str">
        <x:v>Envasado B</x:v>
      </x:c>
      <x:c r="E429" s="11" t="str">
        <x:v>Vespertino</x:v>
      </x:c>
      <x:c r="F429" s="11" t="str">
        <x:v>P003</x:v>
      </x:c>
      <x:c r="G429" s="11" t="str">
        <x:v>Producto Gamma</x:v>
      </x:c>
      <x:c r="H429" s="11" t="n">
        <x:v>480</x:v>
      </x:c>
      <x:c r="I429" s="11" t="n">
        <x:v>21</x:v>
      </x:c>
      <x:c r="J429" s="11" t="n">
        <x:v>8</x:v>
      </x:c>
      <x:c r="K429" s="11" t="n">
        <x:v>451</x:v>
      </x:c>
      <x:c r="L429" s="11" t="n">
        <x:v>7.5</x:v>
      </x:c>
      <x:c r="M429" s="11" t="n">
        <x:v>3098</x:v>
      </x:c>
      <x:c r="N429" s="11" t="n">
        <x:v>3095</x:v>
      </x:c>
      <x:c r="O429" s="11" t="n">
        <x:v>2884</x:v>
      </x:c>
      <x:c r="P429" s="11" t="n">
        <x:v>211</x:v>
      </x:c>
    </x:row>
    <x:row r="430">
      <x:c r="A430" s="11" t="n">
        <x:v>429</x:v>
      </x:c>
      <x:c r="B430" s="11" t="str">
        <x:v>2026-08-27</x:v>
      </x:c>
      <x:c r="C430" s="11" t="str">
        <x:v>L3</x:v>
      </x:c>
      <x:c r="D430" s="11" t="str">
        <x:v>Empaque</x:v>
      </x:c>
      <x:c r="E430" s="11" t="str">
        <x:v>Matutino</x:v>
      </x:c>
      <x:c r="F430" s="11" t="str">
        <x:v>P003</x:v>
      </x:c>
      <x:c r="G430" s="11" t="str">
        <x:v>Producto Gamma</x:v>
      </x:c>
      <x:c r="H430" s="11" t="n">
        <x:v>480</x:v>
      </x:c>
      <x:c r="I430" s="11" t="n">
        <x:v>17</x:v>
      </x:c>
      <x:c r="J430" s="11" t="n">
        <x:v>1</x:v>
      </x:c>
      <x:c r="K430" s="11" t="n">
        <x:v>462</x:v>
      </x:c>
      <x:c r="L430" s="11" t="n">
        <x:v>8.67</x:v>
      </x:c>
      <x:c r="M430" s="11" t="n">
        <x:v>3611</x:v>
      </x:c>
      <x:c r="N430" s="11" t="n">
        <x:v>3608</x:v>
      </x:c>
      <x:c r="O430" s="11" t="n">
        <x:v>3365</x:v>
      </x:c>
      <x:c r="P430" s="11" t="n">
        <x:v>243</x:v>
      </x:c>
    </x:row>
    <x:row r="431">
      <x:c r="A431" s="11" t="n">
        <x:v>430</x:v>
      </x:c>
      <x:c r="B431" s="11" t="str">
        <x:v>2026-08-27</x:v>
      </x:c>
      <x:c r="C431" s="11" t="str">
        <x:v>L3</x:v>
      </x:c>
      <x:c r="D431" s="11" t="str">
        <x:v>Empaque</x:v>
      </x:c>
      <x:c r="E431" s="11" t="str">
        <x:v>Vespertino</x:v>
      </x:c>
      <x:c r="F431" s="11" t="str">
        <x:v>P001</x:v>
      </x:c>
      <x:c r="G431" s="11" t="str">
        <x:v>Producto Alfa</x:v>
      </x:c>
      <x:c r="H431" s="11" t="n">
        <x:v>480</x:v>
      </x:c>
      <x:c r="I431" s="11" t="n">
        <x:v>16</x:v>
      </x:c>
      <x:c r="J431" s="11" t="n">
        <x:v>65</x:v>
      </x:c>
      <x:c r="K431" s="11" t="n">
        <x:v>399</x:v>
      </x:c>
      <x:c r="L431" s="11" t="n">
        <x:v>8.67</x:v>
      </x:c>
      <x:c r="M431" s="11" t="n">
        <x:v>3619</x:v>
      </x:c>
      <x:c r="N431" s="11" t="n">
        <x:v>3306</x:v>
      </x:c>
      <x:c r="O431" s="11" t="n">
        <x:v>3098</x:v>
      </x:c>
      <x:c r="P431" s="11" t="n">
        <x:v>208</x:v>
      </x:c>
    </x:row>
    <x:row r="432">
      <x:c r="A432" s="11" t="n">
        <x:v>431</x:v>
      </x:c>
      <x:c r="B432" s="11" t="str">
        <x:v>2026-08-27</x:v>
      </x:c>
      <x:c r="C432" s="11" t="str">
        <x:v>L4</x:v>
      </x:c>
      <x:c r="D432" s="11" t="str">
        <x:v>Etiquetado</x:v>
      </x:c>
      <x:c r="E432" s="11" t="str">
        <x:v>Matutino</x:v>
      </x:c>
      <x:c r="F432" s="11" t="str">
        <x:v>P001</x:v>
      </x:c>
      <x:c r="G432" s="11" t="str">
        <x:v>Producto Alfa</x:v>
      </x:c>
      <x:c r="H432" s="11" t="n">
        <x:v>480</x:v>
      </x:c>
      <x:c r="I432" s="11" t="n">
        <x:v>33</x:v>
      </x:c>
      <x:c r="J432" s="11" t="n">
        <x:v>15</x:v>
      </x:c>
      <x:c r="K432" s="11" t="n">
        <x:v>432</x:v>
      </x:c>
      <x:c r="L432" s="11" t="n">
        <x:v>10</x:v>
      </x:c>
      <x:c r="M432" s="11" t="n">
        <x:v>4023</x:v>
      </x:c>
      <x:c r="N432" s="11" t="n">
        <x:v>3904</x:v>
      </x:c>
      <x:c r="O432" s="11" t="n">
        <x:v>3778</x:v>
      </x:c>
      <x:c r="P432" s="11" t="n">
        <x:v>126</x:v>
      </x:c>
    </x:row>
    <x:row r="433">
      <x:c r="A433" s="11" t="n">
        <x:v>432</x:v>
      </x:c>
      <x:c r="B433" s="11" t="str">
        <x:v>2026-08-27</x:v>
      </x:c>
      <x:c r="C433" s="11" t="str">
        <x:v>L4</x:v>
      </x:c>
      <x:c r="D433" s="11" t="str">
        <x:v>Etiquetado</x:v>
      </x:c>
      <x:c r="E433" s="11" t="str">
        <x:v>Vespertino</x:v>
      </x:c>
      <x:c r="F433" s="11" t="str">
        <x:v>P003</x:v>
      </x:c>
      <x:c r="G433" s="11" t="str">
        <x:v>Producto Gamma</x:v>
      </x:c>
      <x:c r="H433" s="11" t="n">
        <x:v>480</x:v>
      </x:c>
      <x:c r="I433" s="11" t="n">
        <x:v>21</x:v>
      </x:c>
      <x:c r="J433" s="11" t="n">
        <x:v>9</x:v>
      </x:c>
      <x:c r="K433" s="11" t="n">
        <x:v>450</x:v>
      </x:c>
      <x:c r="L433" s="11" t="n">
        <x:v>10</x:v>
      </x:c>
      <x:c r="M433" s="11" t="n">
        <x:v>4131</x:v>
      </x:c>
      <x:c r="N433" s="11" t="n">
        <x:v>4046</x:v>
      </x:c>
      <x:c r="O433" s="11" t="n">
        <x:v>3788</x:v>
      </x:c>
      <x:c r="P433" s="11" t="n">
        <x:v>258</x:v>
      </x:c>
    </x:row>
    <x:row r="434">
      <x:c r="A434" s="11" t="n">
        <x:v>433</x:v>
      </x:c>
      <x:c r="B434" s="11" t="str">
        <x:v>2026-08-28</x:v>
      </x:c>
      <x:c r="C434" s="11" t="str">
        <x:v>L1</x:v>
      </x:c>
      <x:c r="D434" s="11" t="str">
        <x:v>Envasado A</x:v>
      </x:c>
      <x:c r="E434" s="11" t="str">
        <x:v>Matutino</x:v>
      </x:c>
      <x:c r="F434" s="11" t="str">
        <x:v>P003</x:v>
      </x:c>
      <x:c r="G434" s="11" t="str">
        <x:v>Producto Gamma</x:v>
      </x:c>
      <x:c r="H434" s="11" t="n">
        <x:v>480</x:v>
      </x:c>
      <x:c r="I434" s="11" t="n">
        <x:v>29</x:v>
      </x:c>
      <x:c r="J434" s="11" t="n">
        <x:v>36</x:v>
      </x:c>
      <x:c r="K434" s="11" t="n">
        <x:v>415</x:v>
      </x:c>
      <x:c r="L434" s="11" t="n">
        <x:v>8</x:v>
      </x:c>
      <x:c r="M434" s="11" t="n">
        <x:v>3247</x:v>
      </x:c>
      <x:c r="N434" s="11" t="n">
        <x:v>2868</x:v>
      </x:c>
      <x:c r="O434" s="11" t="n">
        <x:v>2686</x:v>
      </x:c>
      <x:c r="P434" s="11" t="n">
        <x:v>182</x:v>
      </x:c>
    </x:row>
    <x:row r="435">
      <x:c r="A435" s="11" t="n">
        <x:v>434</x:v>
      </x:c>
      <x:c r="B435" s="11" t="str">
        <x:v>2026-08-28</x:v>
      </x:c>
      <x:c r="C435" s="11" t="str">
        <x:v>L1</x:v>
      </x:c>
      <x:c r="D435" s="11" t="str">
        <x:v>Envasado A</x:v>
      </x:c>
      <x:c r="E435" s="11" t="str">
        <x:v>Vespertino</x:v>
      </x:c>
      <x:c r="F435" s="11" t="str">
        <x:v>P001</x:v>
      </x:c>
      <x:c r="G435" s="11" t="str">
        <x:v>Producto Alfa</x:v>
      </x:c>
      <x:c r="H435" s="11" t="n">
        <x:v>480</x:v>
      </x:c>
      <x:c r="I435" s="11" t="n">
        <x:v>32</x:v>
      </x:c>
      <x:c r="J435" s="11" t="n">
        <x:v>25</x:v>
      </x:c>
      <x:c r="K435" s="11" t="n">
        <x:v>423</x:v>
      </x:c>
      <x:c r="L435" s="11" t="n">
        <x:v>8</x:v>
      </x:c>
      <x:c r="M435" s="11" t="n">
        <x:v>3225</x:v>
      </x:c>
      <x:c r="N435" s="11" t="n">
        <x:v>2810</x:v>
      </x:c>
      <x:c r="O435" s="11" t="n">
        <x:v>2711</x:v>
      </x:c>
      <x:c r="P435" s="11" t="n">
        <x:v>99</x:v>
      </x:c>
    </x:row>
    <x:row r="436">
      <x:c r="A436" s="11" t="n">
        <x:v>435</x:v>
      </x:c>
      <x:c r="B436" s="11" t="str">
        <x:v>2026-08-28</x:v>
      </x:c>
      <x:c r="C436" s="11" t="str">
        <x:v>L2</x:v>
      </x:c>
      <x:c r="D436" s="11" t="str">
        <x:v>Envasado B</x:v>
      </x:c>
      <x:c r="E436" s="11" t="str">
        <x:v>Matutino</x:v>
      </x:c>
      <x:c r="F436" s="11" t="str">
        <x:v>P003</x:v>
      </x:c>
      <x:c r="G436" s="11" t="str">
        <x:v>Producto Gamma</x:v>
      </x:c>
      <x:c r="H436" s="11" t="n">
        <x:v>480</x:v>
      </x:c>
      <x:c r="I436" s="11" t="n">
        <x:v>15</x:v>
      </x:c>
      <x:c r="J436" s="11" t="n">
        <x:v>0</x:v>
      </x:c>
      <x:c r="K436" s="11" t="n">
        <x:v>465</x:v>
      </x:c>
      <x:c r="L436" s="11" t="n">
        <x:v>7.5</x:v>
      </x:c>
      <x:c r="M436" s="11" t="n">
        <x:v>3138</x:v>
      </x:c>
      <x:c r="N436" s="11" t="n">
        <x:v>3349</x:v>
      </x:c>
      <x:c r="O436" s="11" t="n">
        <x:v>3180</x:v>
      </x:c>
      <x:c r="P436" s="11" t="n">
        <x:v>169</x:v>
      </x:c>
    </x:row>
    <x:row r="437">
      <x:c r="A437" s="11" t="n">
        <x:v>436</x:v>
      </x:c>
      <x:c r="B437" s="11" t="str">
        <x:v>2026-08-28</x:v>
      </x:c>
      <x:c r="C437" s="11" t="str">
        <x:v>L2</x:v>
      </x:c>
      <x:c r="D437" s="11" t="str">
        <x:v>Envasado B</x:v>
      </x:c>
      <x:c r="E437" s="11" t="str">
        <x:v>Vespertino</x:v>
      </x:c>
      <x:c r="F437" s="11" t="str">
        <x:v>P001</x:v>
      </x:c>
      <x:c r="G437" s="11" t="str">
        <x:v>Producto Alfa</x:v>
      </x:c>
      <x:c r="H437" s="11" t="n">
        <x:v>480</x:v>
      </x:c>
      <x:c r="I437" s="11" t="n">
        <x:v>28</x:v>
      </x:c>
      <x:c r="J437" s="11" t="n">
        <x:v>0</x:v>
      </x:c>
      <x:c r="K437" s="11" t="n">
        <x:v>452</x:v>
      </x:c>
      <x:c r="L437" s="11" t="n">
        <x:v>7.5</x:v>
      </x:c>
      <x:c r="M437" s="11" t="n">
        <x:v>3051</x:v>
      </x:c>
      <x:c r="N437" s="11" t="n">
        <x:v>3053</x:v>
      </x:c>
      <x:c r="O437" s="11" t="n">
        <x:v>2941</x:v>
      </x:c>
      <x:c r="P437" s="11" t="n">
        <x:v>112</x:v>
      </x:c>
    </x:row>
    <x:row r="438">
      <x:c r="A438" s="11" t="n">
        <x:v>437</x:v>
      </x:c>
      <x:c r="B438" s="11" t="str">
        <x:v>2026-08-28</x:v>
      </x:c>
      <x:c r="C438" s="11" t="str">
        <x:v>L3</x:v>
      </x:c>
      <x:c r="D438" s="11" t="str">
        <x:v>Empaque</x:v>
      </x:c>
      <x:c r="E438" s="11" t="str">
        <x:v>Matutino</x:v>
      </x:c>
      <x:c r="F438" s="11" t="str">
        <x:v>P001</x:v>
      </x:c>
      <x:c r="G438" s="11" t="str">
        <x:v>Producto Alfa</x:v>
      </x:c>
      <x:c r="H438" s="11" t="n">
        <x:v>480</x:v>
      </x:c>
      <x:c r="I438" s="11" t="n">
        <x:v>17</x:v>
      </x:c>
      <x:c r="J438" s="11" t="n">
        <x:v>52</x:v>
      </x:c>
      <x:c r="K438" s="11" t="n">
        <x:v>411</x:v>
      </x:c>
      <x:c r="L438" s="11" t="n">
        <x:v>8.67</x:v>
      </x:c>
      <x:c r="M438" s="11" t="n">
        <x:v>3611</x:v>
      </x:c>
      <x:c r="N438" s="11" t="n">
        <x:v>3225</x:v>
      </x:c>
      <x:c r="O438" s="11" t="n">
        <x:v>3090</x:v>
      </x:c>
      <x:c r="P438" s="11" t="n">
        <x:v>135</x:v>
      </x:c>
    </x:row>
    <x:row r="439">
      <x:c r="A439" s="11" t="n">
        <x:v>438</x:v>
      </x:c>
      <x:c r="B439" s="11" t="str">
        <x:v>2026-08-28</x:v>
      </x:c>
      <x:c r="C439" s="11" t="str">
        <x:v>L3</x:v>
      </x:c>
      <x:c r="D439" s="11" t="str">
        <x:v>Empaque</x:v>
      </x:c>
      <x:c r="E439" s="11" t="str">
        <x:v>Vespertino</x:v>
      </x:c>
      <x:c r="F439" s="11" t="str">
        <x:v>P001</x:v>
      </x:c>
      <x:c r="G439" s="11" t="str">
        <x:v>Producto Alfa</x:v>
      </x:c>
      <x:c r="H439" s="11" t="n">
        <x:v>480</x:v>
      </x:c>
      <x:c r="I439" s="11" t="n">
        <x:v>35</x:v>
      </x:c>
      <x:c r="J439" s="11" t="n">
        <x:v>41</x:v>
      </x:c>
      <x:c r="K439" s="11" t="n">
        <x:v>404</x:v>
      </x:c>
      <x:c r="L439" s="11" t="n">
        <x:v>8.67</x:v>
      </x:c>
      <x:c r="M439" s="11" t="n">
        <x:v>3471</x:v>
      </x:c>
      <x:c r="N439" s="11" t="n">
        <x:v>3411</x:v>
      </x:c>
      <x:c r="O439" s="11" t="n">
        <x:v>3266</x:v>
      </x:c>
      <x:c r="P439" s="11" t="n">
        <x:v>145</x:v>
      </x:c>
    </x:row>
    <x:row r="440">
      <x:c r="A440" s="11" t="n">
        <x:v>439</x:v>
      </x:c>
      <x:c r="B440" s="11" t="str">
        <x:v>2026-08-28</x:v>
      </x:c>
      <x:c r="C440" s="11" t="str">
        <x:v>L4</x:v>
      </x:c>
      <x:c r="D440" s="11" t="str">
        <x:v>Etiquetado</x:v>
      </x:c>
      <x:c r="E440" s="11" t="str">
        <x:v>Matutino</x:v>
      </x:c>
      <x:c r="F440" s="11" t="str">
        <x:v>P002</x:v>
      </x:c>
      <x:c r="G440" s="11" t="str">
        <x:v>Producto Beta</x:v>
      </x:c>
      <x:c r="H440" s="11" t="n">
        <x:v>480</x:v>
      </x:c>
      <x:c r="I440" s="11" t="n">
        <x:v>26</x:v>
      </x:c>
      <x:c r="J440" s="11" t="n">
        <x:v>49</x:v>
      </x:c>
      <x:c r="K440" s="11" t="n">
        <x:v>405</x:v>
      </x:c>
      <x:c r="L440" s="11" t="n">
        <x:v>10</x:v>
      </x:c>
      <x:c r="M440" s="11" t="n">
        <x:v>4086</x:v>
      </x:c>
      <x:c r="N440" s="11" t="n">
        <x:v>3677</x:v>
      </x:c>
      <x:c r="O440" s="11" t="n">
        <x:v>3522</x:v>
      </x:c>
      <x:c r="P440" s="11" t="n">
        <x:v>155</x:v>
      </x:c>
    </x:row>
    <x:row r="441">
      <x:c r="A441" s="11" t="n">
        <x:v>440</x:v>
      </x:c>
      <x:c r="B441" s="11" t="str">
        <x:v>2026-08-28</x:v>
      </x:c>
      <x:c r="C441" s="11" t="str">
        <x:v>L4</x:v>
      </x:c>
      <x:c r="D441" s="11" t="str">
        <x:v>Etiquetado</x:v>
      </x:c>
      <x:c r="E441" s="11" t="str">
        <x:v>Vespertino</x:v>
      </x:c>
      <x:c r="F441" s="11" t="str">
        <x:v>P002</x:v>
      </x:c>
      <x:c r="G441" s="11" t="str">
        <x:v>Producto Beta</x:v>
      </x:c>
      <x:c r="H441" s="11" t="n">
        <x:v>480</x:v>
      </x:c>
      <x:c r="I441" s="11" t="n">
        <x:v>17</x:v>
      </x:c>
      <x:c r="J441" s="11" t="n">
        <x:v>0</x:v>
      </x:c>
      <x:c r="K441" s="11" t="n">
        <x:v>463</x:v>
      </x:c>
      <x:c r="L441" s="11" t="n">
        <x:v>10</x:v>
      </x:c>
      <x:c r="M441" s="11" t="n">
        <x:v>4167</x:v>
      </x:c>
      <x:c r="N441" s="11" t="n">
        <x:v>4087</x:v>
      </x:c>
      <x:c r="O441" s="11" t="n">
        <x:v>3775</x:v>
      </x:c>
      <x:c r="P441" s="11" t="n">
        <x:v>312</x:v>
      </x:c>
    </x:row>
    <x:row r="442">
      <x:c r="A442" s="11" t="n">
        <x:v>441</x:v>
      </x:c>
      <x:c r="B442" s="11" t="str">
        <x:v>2026-08-29</x:v>
      </x:c>
      <x:c r="C442" s="11" t="str">
        <x:v>L1</x:v>
      </x:c>
      <x:c r="D442" s="11" t="str">
        <x:v>Envasado A</x:v>
      </x:c>
      <x:c r="E442" s="11" t="str">
        <x:v>Matutino</x:v>
      </x:c>
      <x:c r="F442" s="11" t="str">
        <x:v>P003</x:v>
      </x:c>
      <x:c r="G442" s="11" t="str">
        <x:v>Producto Gamma</x:v>
      </x:c>
      <x:c r="H442" s="11" t="n">
        <x:v>480</x:v>
      </x:c>
      <x:c r="I442" s="11" t="n">
        <x:v>19</x:v>
      </x:c>
      <x:c r="J442" s="11" t="n">
        <x:v>16</x:v>
      </x:c>
      <x:c r="K442" s="11" t="n">
        <x:v>445</x:v>
      </x:c>
      <x:c r="L442" s="11" t="n">
        <x:v>8</x:v>
      </x:c>
      <x:c r="M442" s="11" t="n">
        <x:v>3319</x:v>
      </x:c>
      <x:c r="N442" s="11" t="n">
        <x:v>3117</x:v>
      </x:c>
      <x:c r="O442" s="11" t="n">
        <x:v>2981</x:v>
      </x:c>
      <x:c r="P442" s="11" t="n">
        <x:v>136</x:v>
      </x:c>
    </x:row>
    <x:row r="443">
      <x:c r="A443" s="11" t="n">
        <x:v>442</x:v>
      </x:c>
      <x:c r="B443" s="11" t="str">
        <x:v>2026-08-29</x:v>
      </x:c>
      <x:c r="C443" s="11" t="str">
        <x:v>L1</x:v>
      </x:c>
      <x:c r="D443" s="11" t="str">
        <x:v>Envasado A</x:v>
      </x:c>
      <x:c r="E443" s="11" t="str">
        <x:v>Vespertino</x:v>
      </x:c>
      <x:c r="F443" s="11" t="str">
        <x:v>P003</x:v>
      </x:c>
      <x:c r="G443" s="11" t="str">
        <x:v>Producto Gamma</x:v>
      </x:c>
      <x:c r="H443" s="11" t="n">
        <x:v>480</x:v>
      </x:c>
      <x:c r="I443" s="11" t="n">
        <x:v>19</x:v>
      </x:c>
      <x:c r="J443" s="11" t="n">
        <x:v>52</x:v>
      </x:c>
      <x:c r="K443" s="11" t="n">
        <x:v>409</x:v>
      </x:c>
      <x:c r="L443" s="11" t="n">
        <x:v>8</x:v>
      </x:c>
      <x:c r="M443" s="11" t="n">
        <x:v>3319</x:v>
      </x:c>
      <x:c r="N443" s="11" t="n">
        <x:v>2963</x:v>
      </x:c>
      <x:c r="O443" s="11" t="n">
        <x:v>2789</x:v>
      </x:c>
      <x:c r="P443" s="11" t="n">
        <x:v>174</x:v>
      </x:c>
    </x:row>
    <x:row r="444">
      <x:c r="A444" s="11" t="n">
        <x:v>443</x:v>
      </x:c>
      <x:c r="B444" s="11" t="str">
        <x:v>2026-08-29</x:v>
      </x:c>
      <x:c r="C444" s="11" t="str">
        <x:v>L2</x:v>
      </x:c>
      <x:c r="D444" s="11" t="str">
        <x:v>Envasado B</x:v>
      </x:c>
      <x:c r="E444" s="11" t="str">
        <x:v>Matutino</x:v>
      </x:c>
      <x:c r="F444" s="11" t="str">
        <x:v>P001</x:v>
      </x:c>
      <x:c r="G444" s="11" t="str">
        <x:v>Producto Alfa</x:v>
      </x:c>
      <x:c r="H444" s="11" t="n">
        <x:v>480</x:v>
      </x:c>
      <x:c r="I444" s="11" t="n">
        <x:v>15</x:v>
      </x:c>
      <x:c r="J444" s="11" t="n">
        <x:v>52</x:v>
      </x:c>
      <x:c r="K444" s="11" t="n">
        <x:v>413</x:v>
      </x:c>
      <x:c r="L444" s="11" t="n">
        <x:v>7.5</x:v>
      </x:c>
      <x:c r="M444" s="11" t="n">
        <x:v>3138</x:v>
      </x:c>
      <x:c r="N444" s="11" t="n">
        <x:v>2797</x:v>
      </x:c>
      <x:c r="O444" s="11" t="n">
        <x:v>2678</x:v>
      </x:c>
      <x:c r="P444" s="11" t="n">
        <x:v>119</x:v>
      </x:c>
    </x:row>
    <x:row r="445">
      <x:c r="A445" s="11" t="n">
        <x:v>444</x:v>
      </x:c>
      <x:c r="B445" s="11" t="str">
        <x:v>2026-08-29</x:v>
      </x:c>
      <x:c r="C445" s="11" t="str">
        <x:v>L2</x:v>
      </x:c>
      <x:c r="D445" s="11" t="str">
        <x:v>Envasado B</x:v>
      </x:c>
      <x:c r="E445" s="11" t="str">
        <x:v>Vespertino</x:v>
      </x:c>
      <x:c r="F445" s="11" t="str">
        <x:v>P002</x:v>
      </x:c>
      <x:c r="G445" s="11" t="str">
        <x:v>Producto Beta</x:v>
      </x:c>
      <x:c r="H445" s="11" t="n">
        <x:v>480</x:v>
      </x:c>
      <x:c r="I445" s="11" t="n">
        <x:v>22</x:v>
      </x:c>
      <x:c r="J445" s="11" t="n">
        <x:v>5</x:v>
      </x:c>
      <x:c r="K445" s="11" t="n">
        <x:v>453</x:v>
      </x:c>
      <x:c r="L445" s="11" t="n">
        <x:v>7.5</x:v>
      </x:c>
      <x:c r="M445" s="11" t="n">
        <x:v>3091</x:v>
      </x:c>
      <x:c r="N445" s="11" t="n">
        <x:v>3093</x:v>
      </x:c>
      <x:c r="O445" s="11" t="n">
        <x:v>2941</x:v>
      </x:c>
      <x:c r="P445" s="11" t="n">
        <x:v>152</x:v>
      </x:c>
    </x:row>
    <x:row r="446">
      <x:c r="A446" s="11" t="n">
        <x:v>445</x:v>
      </x:c>
      <x:c r="B446" s="11" t="str">
        <x:v>2026-08-29</x:v>
      </x:c>
      <x:c r="C446" s="11" t="str">
        <x:v>L3</x:v>
      </x:c>
      <x:c r="D446" s="11" t="str">
        <x:v>Empaque</x:v>
      </x:c>
      <x:c r="E446" s="11" t="str">
        <x:v>Matutino</x:v>
      </x:c>
      <x:c r="F446" s="11" t="str">
        <x:v>P002</x:v>
      </x:c>
      <x:c r="G446" s="11" t="str">
        <x:v>Producto Beta</x:v>
      </x:c>
      <x:c r="H446" s="11" t="n">
        <x:v>480</x:v>
      </x:c>
      <x:c r="I446" s="11" t="n">
        <x:v>21</x:v>
      </x:c>
      <x:c r="J446" s="11" t="n">
        <x:v>60</x:v>
      </x:c>
      <x:c r="K446" s="11" t="n">
        <x:v>399</x:v>
      </x:c>
      <x:c r="L446" s="11" t="n">
        <x:v>8.67</x:v>
      </x:c>
      <x:c r="M446" s="11" t="n">
        <x:v>3580</x:v>
      </x:c>
      <x:c r="N446" s="11" t="n">
        <x:v>3050</x:v>
      </x:c>
      <x:c r="O446" s="11" t="n">
        <x:v>2917</x:v>
      </x:c>
      <x:c r="P446" s="11" t="n">
        <x:v>133</x:v>
      </x:c>
    </x:row>
    <x:row r="447">
      <x:c r="A447" s="11" t="n">
        <x:v>446</x:v>
      </x:c>
      <x:c r="B447" s="11" t="str">
        <x:v>2026-08-29</x:v>
      </x:c>
      <x:c r="C447" s="11" t="str">
        <x:v>L3</x:v>
      </x:c>
      <x:c r="D447" s="11" t="str">
        <x:v>Empaque</x:v>
      </x:c>
      <x:c r="E447" s="11" t="str">
        <x:v>Vespertino</x:v>
      </x:c>
      <x:c r="F447" s="11" t="str">
        <x:v>P002</x:v>
      </x:c>
      <x:c r="G447" s="11" t="str">
        <x:v>Producto Beta</x:v>
      </x:c>
      <x:c r="H447" s="11" t="n">
        <x:v>480</x:v>
      </x:c>
      <x:c r="I447" s="11" t="n">
        <x:v>34</x:v>
      </x:c>
      <x:c r="J447" s="11" t="n">
        <x:v>54</x:v>
      </x:c>
      <x:c r="K447" s="11" t="n">
        <x:v>392</x:v>
      </x:c>
      <x:c r="L447" s="11" t="n">
        <x:v>8.67</x:v>
      </x:c>
      <x:c r="M447" s="11" t="n">
        <x:v>3478</x:v>
      </x:c>
      <x:c r="N447" s="11" t="n">
        <x:v>3123</x:v>
      </x:c>
      <x:c r="O447" s="11" t="n">
        <x:v>2858</x:v>
      </x:c>
      <x:c r="P447" s="11" t="n">
        <x:v>265</x:v>
      </x:c>
    </x:row>
    <x:row r="448">
      <x:c r="A448" s="11" t="n">
        <x:v>447</x:v>
      </x:c>
      <x:c r="B448" s="11" t="str">
        <x:v>2026-08-29</x:v>
      </x:c>
      <x:c r="C448" s="11" t="str">
        <x:v>L4</x:v>
      </x:c>
      <x:c r="D448" s="11" t="str">
        <x:v>Etiquetado</x:v>
      </x:c>
      <x:c r="E448" s="11" t="str">
        <x:v>Matutino</x:v>
      </x:c>
      <x:c r="F448" s="11" t="str">
        <x:v>P001</x:v>
      </x:c>
      <x:c r="G448" s="11" t="str">
        <x:v>Producto Alfa</x:v>
      </x:c>
      <x:c r="H448" s="11" t="n">
        <x:v>480</x:v>
      </x:c>
      <x:c r="I448" s="11" t="n">
        <x:v>22</x:v>
      </x:c>
      <x:c r="J448" s="11" t="n">
        <x:v>30</x:v>
      </x:c>
      <x:c r="K448" s="11" t="n">
        <x:v>428</x:v>
      </x:c>
      <x:c r="L448" s="11" t="n">
        <x:v>10</x:v>
      </x:c>
      <x:c r="M448" s="11" t="n">
        <x:v>4122</x:v>
      </x:c>
      <x:c r="N448" s="11" t="n">
        <x:v>3980</x:v>
      </x:c>
      <x:c r="O448" s="11" t="n">
        <x:v>3883</x:v>
      </x:c>
      <x:c r="P448" s="11" t="n">
        <x:v>97</x:v>
      </x:c>
    </x:row>
    <x:row r="449">
      <x:c r="A449" s="11" t="n">
        <x:v>448</x:v>
      </x:c>
      <x:c r="B449" s="11" t="str">
        <x:v>2026-08-29</x:v>
      </x:c>
      <x:c r="C449" s="11" t="str">
        <x:v>L4</x:v>
      </x:c>
      <x:c r="D449" s="11" t="str">
        <x:v>Etiquetado</x:v>
      </x:c>
      <x:c r="E449" s="11" t="str">
        <x:v>Vespertino</x:v>
      </x:c>
      <x:c r="F449" s="11" t="str">
        <x:v>P003</x:v>
      </x:c>
      <x:c r="G449" s="11" t="str">
        <x:v>Producto Gamma</x:v>
      </x:c>
      <x:c r="H449" s="11" t="n">
        <x:v>480</x:v>
      </x:c>
      <x:c r="I449" s="11" t="n">
        <x:v>16</x:v>
      </x:c>
      <x:c r="J449" s="11" t="n">
        <x:v>34</x:v>
      </x:c>
      <x:c r="K449" s="11" t="n">
        <x:v>430</x:v>
      </x:c>
      <x:c r="L449" s="11" t="n">
        <x:v>10</x:v>
      </x:c>
      <x:c r="M449" s="11" t="n">
        <x:v>4176</x:v>
      </x:c>
      <x:c r="N449" s="11" t="n">
        <x:v>3914</x:v>
      </x:c>
      <x:c r="O449" s="11" t="n">
        <x:v>3732</x:v>
      </x:c>
      <x:c r="P449" s="11" t="n">
        <x:v>182</x:v>
      </x:c>
    </x:row>
    <x:row r="450">
      <x:c r="A450" s="11" t="n">
        <x:v>449</x:v>
      </x:c>
      <x:c r="B450" s="11" t="str">
        <x:v>2026-08-30</x:v>
      </x:c>
      <x:c r="C450" s="11" t="str">
        <x:v>L1</x:v>
      </x:c>
      <x:c r="D450" s="11" t="str">
        <x:v>Envasado A</x:v>
      </x:c>
      <x:c r="E450" s="11" t="str">
        <x:v>Matutino</x:v>
      </x:c>
      <x:c r="F450" s="11" t="str">
        <x:v>P002</x:v>
      </x:c>
      <x:c r="G450" s="11" t="str">
        <x:v>Producto Beta</x:v>
      </x:c>
      <x:c r="H450" s="11" t="n">
        <x:v>480</x:v>
      </x:c>
      <x:c r="I450" s="11" t="n">
        <x:v>22</x:v>
      </x:c>
      <x:c r="J450" s="11" t="n">
        <x:v>0</x:v>
      </x:c>
      <x:c r="K450" s="11" t="n">
        <x:v>458</x:v>
      </x:c>
      <x:c r="L450" s="11" t="n">
        <x:v>8</x:v>
      </x:c>
      <x:c r="M450" s="11" t="n">
        <x:v>3297</x:v>
      </x:c>
      <x:c r="N450" s="11" t="n">
        <x:v>3265</x:v>
      </x:c>
      <x:c r="O450" s="11" t="n">
        <x:v>3072</x:v>
      </x:c>
      <x:c r="P450" s="11" t="n">
        <x:v>193</x:v>
      </x:c>
    </x:row>
    <x:row r="451">
      <x:c r="A451" s="11" t="n">
        <x:v>450</x:v>
      </x:c>
      <x:c r="B451" s="11" t="str">
        <x:v>2026-08-30</x:v>
      </x:c>
      <x:c r="C451" s="11" t="str">
        <x:v>L1</x:v>
      </x:c>
      <x:c r="D451" s="11" t="str">
        <x:v>Envasado A</x:v>
      </x:c>
      <x:c r="E451" s="11" t="str">
        <x:v>Vespertino</x:v>
      </x:c>
      <x:c r="F451" s="11" t="str">
        <x:v>P002</x:v>
      </x:c>
      <x:c r="G451" s="11" t="str">
        <x:v>Producto Beta</x:v>
      </x:c>
      <x:c r="H451" s="11" t="n">
        <x:v>480</x:v>
      </x:c>
      <x:c r="I451" s="11" t="n">
        <x:v>22</x:v>
      </x:c>
      <x:c r="J451" s="11" t="n">
        <x:v>16</x:v>
      </x:c>
      <x:c r="K451" s="11" t="n">
        <x:v>442</x:v>
      </x:c>
      <x:c r="L451" s="11" t="n">
        <x:v>8</x:v>
      </x:c>
      <x:c r="M451" s="11" t="n">
        <x:v>3297</x:v>
      </x:c>
      <x:c r="N451" s="11" t="n">
        <x:v>3321</x:v>
      </x:c>
      <x:c r="O451" s="11" t="n">
        <x:v>3062</x:v>
      </x:c>
      <x:c r="P451" s="11" t="n">
        <x:v>259</x:v>
      </x:c>
    </x:row>
    <x:row r="452">
      <x:c r="A452" s="11" t="n">
        <x:v>451</x:v>
      </x:c>
      <x:c r="B452" s="11" t="str">
        <x:v>2026-08-30</x:v>
      </x:c>
      <x:c r="C452" s="11" t="str">
        <x:v>L2</x:v>
      </x:c>
      <x:c r="D452" s="11" t="str">
        <x:v>Envasado B</x:v>
      </x:c>
      <x:c r="E452" s="11" t="str">
        <x:v>Matutino</x:v>
      </x:c>
      <x:c r="F452" s="11" t="str">
        <x:v>P002</x:v>
      </x:c>
      <x:c r="G452" s="11" t="str">
        <x:v>Producto Beta</x:v>
      </x:c>
      <x:c r="H452" s="11" t="n">
        <x:v>480</x:v>
      </x:c>
      <x:c r="I452" s="11" t="n">
        <x:v>33</x:v>
      </x:c>
      <x:c r="J452" s="11" t="n">
        <x:v>1</x:v>
      </x:c>
      <x:c r="K452" s="11" t="n">
        <x:v>446</x:v>
      </x:c>
      <x:c r="L452" s="11" t="n">
        <x:v>7.5</x:v>
      </x:c>
      <x:c r="M452" s="11" t="n">
        <x:v>3017</x:v>
      </x:c>
      <x:c r="N452" s="11" t="n">
        <x:v>2914</x:v>
      </x:c>
      <x:c r="O452" s="11" t="n">
        <x:v>2726</x:v>
      </x:c>
      <x:c r="P452" s="11" t="n">
        <x:v>188</x:v>
      </x:c>
    </x:row>
    <x:row r="453">
      <x:c r="A453" s="11" t="n">
        <x:v>452</x:v>
      </x:c>
      <x:c r="B453" s="11" t="str">
        <x:v>2026-08-30</x:v>
      </x:c>
      <x:c r="C453" s="11" t="str">
        <x:v>L2</x:v>
      </x:c>
      <x:c r="D453" s="11" t="str">
        <x:v>Envasado B</x:v>
      </x:c>
      <x:c r="E453" s="11" t="str">
        <x:v>Vespertino</x:v>
      </x:c>
      <x:c r="F453" s="11" t="str">
        <x:v>P001</x:v>
      </x:c>
      <x:c r="G453" s="11" t="str">
        <x:v>Producto Alfa</x:v>
      </x:c>
      <x:c r="H453" s="11" t="n">
        <x:v>480</x:v>
      </x:c>
      <x:c r="I453" s="11" t="n">
        <x:v>31</x:v>
      </x:c>
      <x:c r="J453" s="11" t="n">
        <x:v>44</x:v>
      </x:c>
      <x:c r="K453" s="11" t="n">
        <x:v>405</x:v>
      </x:c>
      <x:c r="L453" s="11" t="n">
        <x:v>7.5</x:v>
      </x:c>
      <x:c r="M453" s="11" t="n">
        <x:v>3030</x:v>
      </x:c>
      <x:c r="N453" s="11" t="n">
        <x:v>2785</x:v>
      </x:c>
      <x:c r="O453" s="11" t="n">
        <x:v>2701</x:v>
      </x:c>
      <x:c r="P453" s="11" t="n">
        <x:v>84</x:v>
      </x:c>
    </x:row>
    <x:row r="454">
      <x:c r="A454" s="11" t="n">
        <x:v>453</x:v>
      </x:c>
      <x:c r="B454" s="11" t="str">
        <x:v>2026-08-31</x:v>
      </x:c>
      <x:c r="C454" s="11" t="str">
        <x:v>L1</x:v>
      </x:c>
      <x:c r="D454" s="11" t="str">
        <x:v>Envasado A</x:v>
      </x:c>
      <x:c r="E454" s="11" t="str">
        <x:v>Matutino</x:v>
      </x:c>
      <x:c r="F454" s="11" t="str">
        <x:v>P001</x:v>
      </x:c>
      <x:c r="G454" s="11" t="str">
        <x:v>Producto Alfa</x:v>
      </x:c>
      <x:c r="H454" s="11" t="n">
        <x:v>480</x:v>
      </x:c>
      <x:c r="I454" s="11" t="n">
        <x:v>32</x:v>
      </x:c>
      <x:c r="J454" s="11" t="n">
        <x:v>70</x:v>
      </x:c>
      <x:c r="K454" s="11" t="n">
        <x:v>378</x:v>
      </x:c>
      <x:c r="L454" s="11" t="n">
        <x:v>8</x:v>
      </x:c>
      <x:c r="M454" s="11" t="n">
        <x:v>3225</x:v>
      </x:c>
      <x:c r="N454" s="11" t="n">
        <x:v>2662</x:v>
      </x:c>
      <x:c r="O454" s="11" t="n">
        <x:v>2593</x:v>
      </x:c>
      <x:c r="P454" s="11" t="n">
        <x:v>69</x:v>
      </x:c>
    </x:row>
    <x:row r="455">
      <x:c r="A455" s="11" t="n">
        <x:v>454</x:v>
      </x:c>
      <x:c r="B455" s="11" t="str">
        <x:v>2026-08-31</x:v>
      </x:c>
      <x:c r="C455" s="11" t="str">
        <x:v>L1</x:v>
      </x:c>
      <x:c r="D455" s="11" t="str">
        <x:v>Envasado A</x:v>
      </x:c>
      <x:c r="E455" s="11" t="str">
        <x:v>Vespertino</x:v>
      </x:c>
      <x:c r="F455" s="11" t="str">
        <x:v>P002</x:v>
      </x:c>
      <x:c r="G455" s="11" t="str">
        <x:v>Producto Beta</x:v>
      </x:c>
      <x:c r="H455" s="11" t="n">
        <x:v>480</x:v>
      </x:c>
      <x:c r="I455" s="11" t="n">
        <x:v>32</x:v>
      </x:c>
      <x:c r="J455" s="11" t="n">
        <x:v>11</x:v>
      </x:c>
      <x:c r="K455" s="11" t="n">
        <x:v>437</x:v>
      </x:c>
      <x:c r="L455" s="11" t="n">
        <x:v>8</x:v>
      </x:c>
      <x:c r="M455" s="11" t="n">
        <x:v>3225</x:v>
      </x:c>
      <x:c r="N455" s="11" t="n">
        <x:v>2760</x:v>
      </x:c>
      <x:c r="O455" s="11" t="n">
        <x:v>2596</x:v>
      </x:c>
      <x:c r="P455" s="11" t="n">
        <x:v>164</x:v>
      </x:c>
    </x:row>
    <x:row r="456">
      <x:c r="A456" s="11" t="n">
        <x:v>455</x:v>
      </x:c>
      <x:c r="B456" s="11" t="str">
        <x:v>2026-08-31</x:v>
      </x:c>
      <x:c r="C456" s="11" t="str">
        <x:v>L2</x:v>
      </x:c>
      <x:c r="D456" s="11" t="str">
        <x:v>Envasado B</x:v>
      </x:c>
      <x:c r="E456" s="11" t="str">
        <x:v>Matutino</x:v>
      </x:c>
      <x:c r="F456" s="11" t="str">
        <x:v>P003</x:v>
      </x:c>
      <x:c r="G456" s="11" t="str">
        <x:v>Producto Gamma</x:v>
      </x:c>
      <x:c r="H456" s="11" t="n">
        <x:v>480</x:v>
      </x:c>
      <x:c r="I456" s="11" t="n">
        <x:v>27</x:v>
      </x:c>
      <x:c r="J456" s="11" t="n">
        <x:v>32</x:v>
      </x:c>
      <x:c r="K456" s="11" t="n">
        <x:v>421</x:v>
      </x:c>
      <x:c r="L456" s="11" t="n">
        <x:v>7.5</x:v>
      </x:c>
      <x:c r="M456" s="11" t="n">
        <x:v>3057</x:v>
      </x:c>
      <x:c r="N456" s="11" t="n">
        <x:v>2751</x:v>
      </x:c>
      <x:c r="O456" s="11" t="n">
        <x:v>2597</x:v>
      </x:c>
      <x:c r="P456" s="11" t="n">
        <x:v>154</x:v>
      </x:c>
    </x:row>
    <x:row r="457">
      <x:c r="A457" s="11" t="n">
        <x:v>456</x:v>
      </x:c>
      <x:c r="B457" s="11" t="str">
        <x:v>2026-08-31</x:v>
      </x:c>
      <x:c r="C457" s="11" t="str">
        <x:v>L2</x:v>
      </x:c>
      <x:c r="D457" s="11" t="str">
        <x:v>Envasado B</x:v>
      </x:c>
      <x:c r="E457" s="11" t="str">
        <x:v>Vespertino</x:v>
      </x:c>
      <x:c r="F457" s="11" t="str">
        <x:v>P002</x:v>
      </x:c>
      <x:c r="G457" s="11" t="str">
        <x:v>Producto Beta</x:v>
      </x:c>
      <x:c r="H457" s="11" t="n">
        <x:v>480</x:v>
      </x:c>
      <x:c r="I457" s="11" t="n">
        <x:v>20</x:v>
      </x:c>
      <x:c r="J457" s="11" t="n">
        <x:v>34</x:v>
      </x:c>
      <x:c r="K457" s="11" t="n">
        <x:v>426</x:v>
      </x:c>
      <x:c r="L457" s="11" t="n">
        <x:v>7.5</x:v>
      </x:c>
      <x:c r="M457" s="11" t="n">
        <x:v>3105</x:v>
      </x:c>
      <x:c r="N457" s="11" t="n">
        <x:v>2911</x:v>
      </x:c>
      <x:c r="O457" s="11" t="n">
        <x:v>2696</x:v>
      </x:c>
      <x:c r="P457" s="11" t="n">
        <x:v>215</x:v>
      </x:c>
    </x:row>
    <x:row r="458">
      <x:c r="A458" s="11" t="n">
        <x:v>457</x:v>
      </x:c>
      <x:c r="B458" s="11" t="str">
        <x:v>2026-08-31</x:v>
      </x:c>
      <x:c r="C458" s="11" t="str">
        <x:v>L3</x:v>
      </x:c>
      <x:c r="D458" s="11" t="str">
        <x:v>Empaque</x:v>
      </x:c>
      <x:c r="E458" s="11" t="str">
        <x:v>Matutino</x:v>
      </x:c>
      <x:c r="F458" s="11" t="str">
        <x:v>P001</x:v>
      </x:c>
      <x:c r="G458" s="11" t="str">
        <x:v>Producto Alfa</x:v>
      </x:c>
      <x:c r="H458" s="11" t="n">
        <x:v>480</x:v>
      </x:c>
      <x:c r="I458" s="11" t="n">
        <x:v>24</x:v>
      </x:c>
      <x:c r="J458" s="11" t="n">
        <x:v>35</x:v>
      </x:c>
      <x:c r="K458" s="11" t="n">
        <x:v>421</x:v>
      </x:c>
      <x:c r="L458" s="11" t="n">
        <x:v>8.67</x:v>
      </x:c>
      <x:c r="M458" s="11" t="n">
        <x:v>3556</x:v>
      </x:c>
      <x:c r="N458" s="11" t="n">
        <x:v>3248</x:v>
      </x:c>
      <x:c r="O458" s="11" t="n">
        <x:v>3105</x:v>
      </x:c>
      <x:c r="P458" s="11" t="n">
        <x:v>143</x:v>
      </x:c>
    </x:row>
    <x:row r="459">
      <x:c r="A459" s="11" t="n">
        <x:v>458</x:v>
      </x:c>
      <x:c r="B459" s="11" t="str">
        <x:v>2026-08-31</x:v>
      </x:c>
      <x:c r="C459" s="11" t="str">
        <x:v>L3</x:v>
      </x:c>
      <x:c r="D459" s="11" t="str">
        <x:v>Empaque</x:v>
      </x:c>
      <x:c r="E459" s="11" t="str">
        <x:v>Vespertino</x:v>
      </x:c>
      <x:c r="F459" s="11" t="str">
        <x:v>P002</x:v>
      </x:c>
      <x:c r="G459" s="11" t="str">
        <x:v>Producto Beta</x:v>
      </x:c>
      <x:c r="H459" s="11" t="n">
        <x:v>480</x:v>
      </x:c>
      <x:c r="I459" s="11" t="n">
        <x:v>28</x:v>
      </x:c>
      <x:c r="J459" s="11" t="n">
        <x:v>29</x:v>
      </x:c>
      <x:c r="K459" s="11" t="n">
        <x:v>423</x:v>
      </x:c>
      <x:c r="L459" s="11" t="n">
        <x:v>8.67</x:v>
      </x:c>
      <x:c r="M459" s="11" t="n">
        <x:v>3525</x:v>
      </x:c>
      <x:c r="N459" s="11" t="n">
        <x:v>3253</x:v>
      </x:c>
      <x:c r="O459" s="11" t="n">
        <x:v>3050</x:v>
      </x:c>
      <x:c r="P459" s="11" t="n">
        <x:v>203</x:v>
      </x:c>
    </x:row>
    <x:row r="460">
      <x:c r="A460" s="11" t="n">
        <x:v>459</x:v>
      </x:c>
      <x:c r="B460" s="11" t="str">
        <x:v>2026-08-31</x:v>
      </x:c>
      <x:c r="C460" s="11" t="str">
        <x:v>L4</x:v>
      </x:c>
      <x:c r="D460" s="11" t="str">
        <x:v>Etiquetado</x:v>
      </x:c>
      <x:c r="E460" s="11" t="str">
        <x:v>Matutino</x:v>
      </x:c>
      <x:c r="F460" s="11" t="str">
        <x:v>P001</x:v>
      </x:c>
      <x:c r="G460" s="11" t="str">
        <x:v>Producto Alfa</x:v>
      </x:c>
      <x:c r="H460" s="11" t="n">
        <x:v>480</x:v>
      </x:c>
      <x:c r="I460" s="11" t="n">
        <x:v>23</x:v>
      </x:c>
      <x:c r="J460" s="11" t="n">
        <x:v>37</x:v>
      </x:c>
      <x:c r="K460" s="11" t="n">
        <x:v>420</x:v>
      </x:c>
      <x:c r="L460" s="11" t="n">
        <x:v>10</x:v>
      </x:c>
      <x:c r="M460" s="11" t="n">
        <x:v>4113</x:v>
      </x:c>
      <x:c r="N460" s="11" t="n">
        <x:v>4083</x:v>
      </x:c>
      <x:c r="O460" s="11" t="n">
        <x:v>4003</x:v>
      </x:c>
      <x:c r="P460" s="11" t="n">
        <x:v>80</x:v>
      </x:c>
    </x:row>
    <x:row r="461">
      <x:c r="A461" s="11" t="n">
        <x:v>460</x:v>
      </x:c>
      <x:c r="B461" s="11" t="str">
        <x:v>2026-08-31</x:v>
      </x:c>
      <x:c r="C461" s="11" t="str">
        <x:v>L4</x:v>
      </x:c>
      <x:c r="D461" s="11" t="str">
        <x:v>Etiquetado</x:v>
      </x:c>
      <x:c r="E461" s="11" t="str">
        <x:v>Vespertino</x:v>
      </x:c>
      <x:c r="F461" s="11" t="str">
        <x:v>P001</x:v>
      </x:c>
      <x:c r="G461" s="11" t="str">
        <x:v>Producto Alfa</x:v>
      </x:c>
      <x:c r="H461" s="11" t="n">
        <x:v>480</x:v>
      </x:c>
      <x:c r="I461" s="11" t="n">
        <x:v>32</x:v>
      </x:c>
      <x:c r="J461" s="11" t="n">
        <x:v>7</x:v>
      </x:c>
      <x:c r="K461" s="11" t="n">
        <x:v>441</x:v>
      </x:c>
      <x:c r="L461" s="11" t="n">
        <x:v>10</x:v>
      </x:c>
      <x:c r="M461" s="11" t="n">
        <x:v>4032</x:v>
      </x:c>
      <x:c r="N461" s="11" t="n">
        <x:v>3992</x:v>
      </x:c>
      <x:c r="O461" s="11" t="n">
        <x:v>3801</x:v>
      </x:c>
      <x:c r="P461" s="11" t="n">
        <x:v>191</x:v>
      </x:c>
    </x:row>
    <x:row r="462">
      <x:c r="A462" s="11" t="n">
        <x:v>461</x:v>
      </x:c>
      <x:c r="B462" s="11" t="str">
        <x:v>2026-09-01</x:v>
      </x:c>
      <x:c r="C462" s="11" t="str">
        <x:v>L1</x:v>
      </x:c>
      <x:c r="D462" s="11" t="str">
        <x:v>Envasado A</x:v>
      </x:c>
      <x:c r="E462" s="11" t="str">
        <x:v>Matutino</x:v>
      </x:c>
      <x:c r="F462" s="11" t="str">
        <x:v>P002</x:v>
      </x:c>
      <x:c r="G462" s="11" t="str">
        <x:v>Producto Beta</x:v>
      </x:c>
      <x:c r="H462" s="11" t="n">
        <x:v>480</x:v>
      </x:c>
      <x:c r="I462" s="11" t="n">
        <x:v>27</x:v>
      </x:c>
      <x:c r="J462" s="11" t="n">
        <x:v>14</x:v>
      </x:c>
      <x:c r="K462" s="11" t="n">
        <x:v>439</x:v>
      </x:c>
      <x:c r="L462" s="11" t="n">
        <x:v>8</x:v>
      </x:c>
      <x:c r="M462" s="11" t="n">
        <x:v>3261</x:v>
      </x:c>
      <x:c r="N462" s="11" t="n">
        <x:v>3005</x:v>
      </x:c>
      <x:c r="O462" s="11" t="n">
        <x:v>2841</x:v>
      </x:c>
      <x:c r="P462" s="11" t="n">
        <x:v>164</x:v>
      </x:c>
    </x:row>
    <x:row r="463">
      <x:c r="A463" s="11" t="n">
        <x:v>462</x:v>
      </x:c>
      <x:c r="B463" s="11" t="str">
        <x:v>2026-09-01</x:v>
      </x:c>
      <x:c r="C463" s="11" t="str">
        <x:v>L1</x:v>
      </x:c>
      <x:c r="D463" s="11" t="str">
        <x:v>Envasado A</x:v>
      </x:c>
      <x:c r="E463" s="11" t="str">
        <x:v>Vespertino</x:v>
      </x:c>
      <x:c r="F463" s="11" t="str">
        <x:v>P003</x:v>
      </x:c>
      <x:c r="G463" s="11" t="str">
        <x:v>Producto Gamma</x:v>
      </x:c>
      <x:c r="H463" s="11" t="n">
        <x:v>480</x:v>
      </x:c>
      <x:c r="I463" s="11" t="n">
        <x:v>32</x:v>
      </x:c>
      <x:c r="J463" s="11" t="n">
        <x:v>17</x:v>
      </x:c>
      <x:c r="K463" s="11" t="n">
        <x:v>431</x:v>
      </x:c>
      <x:c r="L463" s="11" t="n">
        <x:v>8</x:v>
      </x:c>
      <x:c r="M463" s="11" t="n">
        <x:v>3225</x:v>
      </x:c>
      <x:c r="N463" s="11" t="n">
        <x:v>3159</x:v>
      </x:c>
      <x:c r="O463" s="11" t="n">
        <x:v>3026</x:v>
      </x:c>
      <x:c r="P463" s="11" t="n">
        <x:v>133</x:v>
      </x:c>
    </x:row>
    <x:row r="464">
      <x:c r="A464" s="11" t="n">
        <x:v>463</x:v>
      </x:c>
      <x:c r="B464" s="11" t="str">
        <x:v>2026-09-01</x:v>
      </x:c>
      <x:c r="C464" s="11" t="str">
        <x:v>L2</x:v>
      </x:c>
      <x:c r="D464" s="11" t="str">
        <x:v>Envasado B</x:v>
      </x:c>
      <x:c r="E464" s="11" t="str">
        <x:v>Matutino</x:v>
      </x:c>
      <x:c r="F464" s="11" t="str">
        <x:v>P002</x:v>
      </x:c>
      <x:c r="G464" s="11" t="str">
        <x:v>Producto Beta</x:v>
      </x:c>
      <x:c r="H464" s="11" t="n">
        <x:v>480</x:v>
      </x:c>
      <x:c r="I464" s="11" t="n">
        <x:v>24</x:v>
      </x:c>
      <x:c r="J464" s="11" t="n">
        <x:v>31</x:v>
      </x:c>
      <x:c r="K464" s="11" t="n">
        <x:v>425</x:v>
      </x:c>
      <x:c r="L464" s="11" t="n">
        <x:v>7.5</x:v>
      </x:c>
      <x:c r="M464" s="11" t="n">
        <x:v>3078</x:v>
      </x:c>
      <x:c r="N464" s="11" t="n">
        <x:v>2893</x:v>
      </x:c>
      <x:c r="O464" s="11" t="n">
        <x:v>2801</x:v>
      </x:c>
      <x:c r="P464" s="11" t="n">
        <x:v>92</x:v>
      </x:c>
    </x:row>
    <x:row r="465">
      <x:c r="A465" s="11" t="n">
        <x:v>464</x:v>
      </x:c>
      <x:c r="B465" s="11" t="str">
        <x:v>2026-09-01</x:v>
      </x:c>
      <x:c r="C465" s="11" t="str">
        <x:v>L2</x:v>
      </x:c>
      <x:c r="D465" s="11" t="str">
        <x:v>Envasado B</x:v>
      </x:c>
      <x:c r="E465" s="11" t="str">
        <x:v>Vespertino</x:v>
      </x:c>
      <x:c r="F465" s="11" t="str">
        <x:v>P001</x:v>
      </x:c>
      <x:c r="G465" s="11" t="str">
        <x:v>Producto Alfa</x:v>
      </x:c>
      <x:c r="H465" s="11" t="n">
        <x:v>480</x:v>
      </x:c>
      <x:c r="I465" s="11" t="n">
        <x:v>30</x:v>
      </x:c>
      <x:c r="J465" s="11" t="n">
        <x:v>6</x:v>
      </x:c>
      <x:c r="K465" s="11" t="n">
        <x:v>444</x:v>
      </x:c>
      <x:c r="L465" s="11" t="n">
        <x:v>7.5</x:v>
      </x:c>
      <x:c r="M465" s="11" t="n">
        <x:v>3037</x:v>
      </x:c>
      <x:c r="N465" s="11" t="n">
        <x:v>3228</x:v>
      </x:c>
      <x:c r="O465" s="11" t="n">
        <x:v>3068</x:v>
      </x:c>
      <x:c r="P465" s="11" t="n">
        <x:v>160</x:v>
      </x:c>
    </x:row>
    <x:row r="466">
      <x:c r="A466" s="11" t="n">
        <x:v>465</x:v>
      </x:c>
      <x:c r="B466" s="11" t="str">
        <x:v>2026-09-01</x:v>
      </x:c>
      <x:c r="C466" s="11" t="str">
        <x:v>L3</x:v>
      </x:c>
      <x:c r="D466" s="11" t="str">
        <x:v>Empaque</x:v>
      </x:c>
      <x:c r="E466" s="11" t="str">
        <x:v>Matutino</x:v>
      </x:c>
      <x:c r="F466" s="11" t="str">
        <x:v>P003</x:v>
      </x:c>
      <x:c r="G466" s="11" t="str">
        <x:v>Producto Gamma</x:v>
      </x:c>
      <x:c r="H466" s="11" t="n">
        <x:v>480</x:v>
      </x:c>
      <x:c r="I466" s="11" t="n">
        <x:v>21</x:v>
      </x:c>
      <x:c r="J466" s="11" t="n">
        <x:v>15</x:v>
      </x:c>
      <x:c r="K466" s="11" t="n">
        <x:v>444</x:v>
      </x:c>
      <x:c r="L466" s="11" t="n">
        <x:v>8.67</x:v>
      </x:c>
      <x:c r="M466" s="11" t="n">
        <x:v>3580</x:v>
      </x:c>
      <x:c r="N466" s="11" t="n">
        <x:v>3579</x:v>
      </x:c>
      <x:c r="O466" s="11" t="n">
        <x:v>3384</x:v>
      </x:c>
      <x:c r="P466" s="11" t="n">
        <x:v>195</x:v>
      </x:c>
    </x:row>
    <x:row r="467">
      <x:c r="A467" s="11" t="n">
        <x:v>466</x:v>
      </x:c>
      <x:c r="B467" s="11" t="str">
        <x:v>2026-09-01</x:v>
      </x:c>
      <x:c r="C467" s="11" t="str">
        <x:v>L3</x:v>
      </x:c>
      <x:c r="D467" s="11" t="str">
        <x:v>Empaque</x:v>
      </x:c>
      <x:c r="E467" s="11" t="str">
        <x:v>Vespertino</x:v>
      </x:c>
      <x:c r="F467" s="11" t="str">
        <x:v>P002</x:v>
      </x:c>
      <x:c r="G467" s="11" t="str">
        <x:v>Producto Beta</x:v>
      </x:c>
      <x:c r="H467" s="11" t="n">
        <x:v>480</x:v>
      </x:c>
      <x:c r="I467" s="11" t="n">
        <x:v>32</x:v>
      </x:c>
      <x:c r="J467" s="11" t="n">
        <x:v>44</x:v>
      </x:c>
      <x:c r="K467" s="11" t="n">
        <x:v>404</x:v>
      </x:c>
      <x:c r="L467" s="11" t="n">
        <x:v>8.67</x:v>
      </x:c>
      <x:c r="M467" s="11" t="n">
        <x:v>3494</x:v>
      </x:c>
      <x:c r="N467" s="11" t="n">
        <x:v>3105</x:v>
      </x:c>
      <x:c r="O467" s="11" t="n">
        <x:v>2892</x:v>
      </x:c>
      <x:c r="P467" s="11" t="n">
        <x:v>213</x:v>
      </x:c>
    </x:row>
    <x:row r="468">
      <x:c r="A468" s="11" t="n">
        <x:v>467</x:v>
      </x:c>
      <x:c r="B468" s="11" t="str">
        <x:v>2026-09-01</x:v>
      </x:c>
      <x:c r="C468" s="11" t="str">
        <x:v>L4</x:v>
      </x:c>
      <x:c r="D468" s="11" t="str">
        <x:v>Etiquetado</x:v>
      </x:c>
      <x:c r="E468" s="11" t="str">
        <x:v>Matutino</x:v>
      </x:c>
      <x:c r="F468" s="11" t="str">
        <x:v>P002</x:v>
      </x:c>
      <x:c r="G468" s="11" t="str">
        <x:v>Producto Beta</x:v>
      </x:c>
      <x:c r="H468" s="11" t="n">
        <x:v>480</x:v>
      </x:c>
      <x:c r="I468" s="11" t="n">
        <x:v>31</x:v>
      </x:c>
      <x:c r="J468" s="11" t="n">
        <x:v>46</x:v>
      </x:c>
      <x:c r="K468" s="11" t="n">
        <x:v>403</x:v>
      </x:c>
      <x:c r="L468" s="11" t="n">
        <x:v>10</x:v>
      </x:c>
      <x:c r="M468" s="11" t="n">
        <x:v>4041</x:v>
      </x:c>
      <x:c r="N468" s="11" t="n">
        <x:v>3530</x:v>
      </x:c>
      <x:c r="O468" s="11" t="n">
        <x:v>3340</x:v>
      </x:c>
      <x:c r="P468" s="11" t="n">
        <x:v>190</x:v>
      </x:c>
    </x:row>
    <x:row r="469">
      <x:c r="A469" s="11" t="n">
        <x:v>468</x:v>
      </x:c>
      <x:c r="B469" s="11" t="str">
        <x:v>2026-09-01</x:v>
      </x:c>
      <x:c r="C469" s="11" t="str">
        <x:v>L4</x:v>
      </x:c>
      <x:c r="D469" s="11" t="str">
        <x:v>Etiquetado</x:v>
      </x:c>
      <x:c r="E469" s="11" t="str">
        <x:v>Vespertino</x:v>
      </x:c>
      <x:c r="F469" s="11" t="str">
        <x:v>P002</x:v>
      </x:c>
      <x:c r="G469" s="11" t="str">
        <x:v>Producto Beta</x:v>
      </x:c>
      <x:c r="H469" s="11" t="n">
        <x:v>480</x:v>
      </x:c>
      <x:c r="I469" s="11" t="n">
        <x:v>21</x:v>
      </x:c>
      <x:c r="J469" s="11" t="n">
        <x:v>0</x:v>
      </x:c>
      <x:c r="K469" s="11" t="n">
        <x:v>459</x:v>
      </x:c>
      <x:c r="L469" s="11" t="n">
        <x:v>10</x:v>
      </x:c>
      <x:c r="M469" s="11" t="n">
        <x:v>4131</x:v>
      </x:c>
      <x:c r="N469" s="11" t="n">
        <x:v>4030</x:v>
      </x:c>
      <x:c r="O469" s="11" t="n">
        <x:v>3824</x:v>
      </x:c>
      <x:c r="P469" s="11" t="n">
        <x:v>206</x:v>
      </x:c>
    </x:row>
    <x:row r="470">
      <x:c r="A470" s="11" t="n">
        <x:v>469</x:v>
      </x:c>
      <x:c r="B470" s="11" t="str">
        <x:v>2026-09-02</x:v>
      </x:c>
      <x:c r="C470" s="11" t="str">
        <x:v>L1</x:v>
      </x:c>
      <x:c r="D470" s="11" t="str">
        <x:v>Envasado A</x:v>
      </x:c>
      <x:c r="E470" s="11" t="str">
        <x:v>Matutino</x:v>
      </x:c>
      <x:c r="F470" s="11" t="str">
        <x:v>P003</x:v>
      </x:c>
      <x:c r="G470" s="11" t="str">
        <x:v>Producto Gamma</x:v>
      </x:c>
      <x:c r="H470" s="11" t="n">
        <x:v>480</x:v>
      </x:c>
      <x:c r="I470" s="11" t="n">
        <x:v>22</x:v>
      </x:c>
      <x:c r="J470" s="11" t="n">
        <x:v>27</x:v>
      </x:c>
      <x:c r="K470" s="11" t="n">
        <x:v>431</x:v>
      </x:c>
      <x:c r="L470" s="11" t="n">
        <x:v>8</x:v>
      </x:c>
      <x:c r="M470" s="11" t="n">
        <x:v>3297</x:v>
      </x:c>
      <x:c r="N470" s="11" t="n">
        <x:v>3109</x:v>
      </x:c>
      <x:c r="O470" s="11" t="n">
        <x:v>2906</x:v>
      </x:c>
      <x:c r="P470" s="11" t="n">
        <x:v>203</x:v>
      </x:c>
    </x:row>
    <x:row r="471">
      <x:c r="A471" s="11" t="n">
        <x:v>470</x:v>
      </x:c>
      <x:c r="B471" s="11" t="str">
        <x:v>2026-09-02</x:v>
      </x:c>
      <x:c r="C471" s="11" t="str">
        <x:v>L1</x:v>
      </x:c>
      <x:c r="D471" s="11" t="str">
        <x:v>Envasado A</x:v>
      </x:c>
      <x:c r="E471" s="11" t="str">
        <x:v>Vespertino</x:v>
      </x:c>
      <x:c r="F471" s="11" t="str">
        <x:v>P003</x:v>
      </x:c>
      <x:c r="G471" s="11" t="str">
        <x:v>Producto Gamma</x:v>
      </x:c>
      <x:c r="H471" s="11" t="n">
        <x:v>480</x:v>
      </x:c>
      <x:c r="I471" s="11" t="n">
        <x:v>28</x:v>
      </x:c>
      <x:c r="J471" s="11" t="n">
        <x:v>18</x:v>
      </x:c>
      <x:c r="K471" s="11" t="n">
        <x:v>434</x:v>
      </x:c>
      <x:c r="L471" s="11" t="n">
        <x:v>8</x:v>
      </x:c>
      <x:c r="M471" s="11" t="n">
        <x:v>3254</x:v>
      </x:c>
      <x:c r="N471" s="11" t="n">
        <x:v>3130</x:v>
      </x:c>
      <x:c r="O471" s="11" t="n">
        <x:v>2997</x:v>
      </x:c>
      <x:c r="P471" s="11" t="n">
        <x:v>133</x:v>
      </x:c>
    </x:row>
    <x:row r="472">
      <x:c r="A472" s="11" t="n">
        <x:v>471</x:v>
      </x:c>
      <x:c r="B472" s="11" t="str">
        <x:v>2026-09-02</x:v>
      </x:c>
      <x:c r="C472" s="11" t="str">
        <x:v>L2</x:v>
      </x:c>
      <x:c r="D472" s="11" t="str">
        <x:v>Envasado B</x:v>
      </x:c>
      <x:c r="E472" s="11" t="str">
        <x:v>Matutino</x:v>
      </x:c>
      <x:c r="F472" s="11" t="str">
        <x:v>P001</x:v>
      </x:c>
      <x:c r="G472" s="11" t="str">
        <x:v>Producto Alfa</x:v>
      </x:c>
      <x:c r="H472" s="11" t="n">
        <x:v>480</x:v>
      </x:c>
      <x:c r="I472" s="11" t="n">
        <x:v>27</x:v>
      </x:c>
      <x:c r="J472" s="11" t="n">
        <x:v>13</x:v>
      </x:c>
      <x:c r="K472" s="11" t="n">
        <x:v>440</x:v>
      </x:c>
      <x:c r="L472" s="11" t="n">
        <x:v>7.5</x:v>
      </x:c>
      <x:c r="M472" s="11" t="n">
        <x:v>3057</x:v>
      </x:c>
      <x:c r="N472" s="11" t="n">
        <x:v>2955</x:v>
      </x:c>
      <x:c r="O472" s="11" t="n">
        <x:v>2756</x:v>
      </x:c>
      <x:c r="P472" s="11" t="n">
        <x:v>199</x:v>
      </x:c>
    </x:row>
    <x:row r="473">
      <x:c r="A473" s="11" t="n">
        <x:v>472</x:v>
      </x:c>
      <x:c r="B473" s="11" t="str">
        <x:v>2026-09-02</x:v>
      </x:c>
      <x:c r="C473" s="11" t="str">
        <x:v>L2</x:v>
      </x:c>
      <x:c r="D473" s="11" t="str">
        <x:v>Envasado B</x:v>
      </x:c>
      <x:c r="E473" s="11" t="str">
        <x:v>Vespertino</x:v>
      </x:c>
      <x:c r="F473" s="11" t="str">
        <x:v>P002</x:v>
      </x:c>
      <x:c r="G473" s="11" t="str">
        <x:v>Producto Beta</x:v>
      </x:c>
      <x:c r="H473" s="11" t="n">
        <x:v>480</x:v>
      </x:c>
      <x:c r="I473" s="11" t="n">
        <x:v>23</x:v>
      </x:c>
      <x:c r="J473" s="11" t="n">
        <x:v>11</x:v>
      </x:c>
      <x:c r="K473" s="11" t="n">
        <x:v>446</x:v>
      </x:c>
      <x:c r="L473" s="11" t="n">
        <x:v>7.5</x:v>
      </x:c>
      <x:c r="M473" s="11" t="n">
        <x:v>3084</x:v>
      </x:c>
      <x:c r="N473" s="11" t="n">
        <x:v>3058</x:v>
      </x:c>
      <x:c r="O473" s="11" t="n">
        <x:v>2832</x:v>
      </x:c>
      <x:c r="P473" s="11" t="n">
        <x:v>226</x:v>
      </x:c>
    </x:row>
    <x:row r="474">
      <x:c r="A474" s="11" t="n">
        <x:v>473</x:v>
      </x:c>
      <x:c r="B474" s="11" t="str">
        <x:v>2026-09-02</x:v>
      </x:c>
      <x:c r="C474" s="11" t="str">
        <x:v>L3</x:v>
      </x:c>
      <x:c r="D474" s="11" t="str">
        <x:v>Empaque</x:v>
      </x:c>
      <x:c r="E474" s="11" t="str">
        <x:v>Matutino</x:v>
      </x:c>
      <x:c r="F474" s="11" t="str">
        <x:v>P003</x:v>
      </x:c>
      <x:c r="G474" s="11" t="str">
        <x:v>Producto Gamma</x:v>
      </x:c>
      <x:c r="H474" s="11" t="n">
        <x:v>480</x:v>
      </x:c>
      <x:c r="I474" s="11" t="n">
        <x:v>35</x:v>
      </x:c>
      <x:c r="J474" s="11" t="n">
        <x:v>26</x:v>
      </x:c>
      <x:c r="K474" s="11" t="n">
        <x:v>419</x:v>
      </x:c>
      <x:c r="L474" s="11" t="n">
        <x:v>8.67</x:v>
      </x:c>
      <x:c r="M474" s="11" t="n">
        <x:v>3471</x:v>
      </x:c>
      <x:c r="N474" s="11" t="n">
        <x:v>3123</x:v>
      </x:c>
      <x:c r="O474" s="11" t="n">
        <x:v>2963</x:v>
      </x:c>
      <x:c r="P474" s="11" t="n">
        <x:v>160</x:v>
      </x:c>
    </x:row>
    <x:row r="475">
      <x:c r="A475" s="11" t="n">
        <x:v>474</x:v>
      </x:c>
      <x:c r="B475" s="11" t="str">
        <x:v>2026-09-02</x:v>
      </x:c>
      <x:c r="C475" s="11" t="str">
        <x:v>L3</x:v>
      </x:c>
      <x:c r="D475" s="11" t="str">
        <x:v>Empaque</x:v>
      </x:c>
      <x:c r="E475" s="11" t="str">
        <x:v>Vespertino</x:v>
      </x:c>
      <x:c r="F475" s="11" t="str">
        <x:v>P001</x:v>
      </x:c>
      <x:c r="G475" s="11" t="str">
        <x:v>Producto Alfa</x:v>
      </x:c>
      <x:c r="H475" s="11" t="n">
        <x:v>480</x:v>
      </x:c>
      <x:c r="I475" s="11" t="n">
        <x:v>32</x:v>
      </x:c>
      <x:c r="J475" s="11" t="n">
        <x:v>7</x:v>
      </x:c>
      <x:c r="K475" s="11" t="n">
        <x:v>441</x:v>
      </x:c>
      <x:c r="L475" s="11" t="n">
        <x:v>8.67</x:v>
      </x:c>
      <x:c r="M475" s="11" t="n">
        <x:v>3494</x:v>
      </x:c>
      <x:c r="N475" s="11" t="n">
        <x:v>3095</x:v>
      </x:c>
      <x:c r="O475" s="11" t="n">
        <x:v>2977</x:v>
      </x:c>
      <x:c r="P475" s="11" t="n">
        <x:v>118</x:v>
      </x:c>
    </x:row>
    <x:row r="476">
      <x:c r="A476" s="11" t="n">
        <x:v>475</x:v>
      </x:c>
      <x:c r="B476" s="11" t="str">
        <x:v>2026-09-02</x:v>
      </x:c>
      <x:c r="C476" s="11" t="str">
        <x:v>L4</x:v>
      </x:c>
      <x:c r="D476" s="11" t="str">
        <x:v>Etiquetado</x:v>
      </x:c>
      <x:c r="E476" s="11" t="str">
        <x:v>Matutino</x:v>
      </x:c>
      <x:c r="F476" s="11" t="str">
        <x:v>P003</x:v>
      </x:c>
      <x:c r="G476" s="11" t="str">
        <x:v>Producto Gamma</x:v>
      </x:c>
      <x:c r="H476" s="11" t="n">
        <x:v>480</x:v>
      </x:c>
      <x:c r="I476" s="11" t="n">
        <x:v>35</x:v>
      </x:c>
      <x:c r="J476" s="11" t="n">
        <x:v>53</x:v>
      </x:c>
      <x:c r="K476" s="11" t="n">
        <x:v>392</x:v>
      </x:c>
      <x:c r="L476" s="11" t="n">
        <x:v>10</x:v>
      </x:c>
      <x:c r="M476" s="11" t="n">
        <x:v>4005</x:v>
      </x:c>
      <x:c r="N476" s="11" t="n">
        <x:v>3510</x:v>
      </x:c>
      <x:c r="O476" s="11" t="n">
        <x:v>3343</x:v>
      </x:c>
      <x:c r="P476" s="11" t="n">
        <x:v>167</x:v>
      </x:c>
    </x:row>
    <x:row r="477">
      <x:c r="A477" s="11" t="n">
        <x:v>476</x:v>
      </x:c>
      <x:c r="B477" s="11" t="str">
        <x:v>2026-09-02</x:v>
      </x:c>
      <x:c r="C477" s="11" t="str">
        <x:v>L4</x:v>
      </x:c>
      <x:c r="D477" s="11" t="str">
        <x:v>Etiquetado</x:v>
      </x:c>
      <x:c r="E477" s="11" t="str">
        <x:v>Vespertino</x:v>
      </x:c>
      <x:c r="F477" s="11" t="str">
        <x:v>P003</x:v>
      </x:c>
      <x:c r="G477" s="11" t="str">
        <x:v>Producto Gamma</x:v>
      </x:c>
      <x:c r="H477" s="11" t="n">
        <x:v>480</x:v>
      </x:c>
      <x:c r="I477" s="11" t="n">
        <x:v>16</x:v>
      </x:c>
      <x:c r="J477" s="11" t="n">
        <x:v>20</x:v>
      </x:c>
      <x:c r="K477" s="11" t="n">
        <x:v>444</x:v>
      </x:c>
      <x:c r="L477" s="11" t="n">
        <x:v>10</x:v>
      </x:c>
      <x:c r="M477" s="11" t="n">
        <x:v>4176</x:v>
      </x:c>
      <x:c r="N477" s="11" t="n">
        <x:v>4058</x:v>
      </x:c>
      <x:c r="O477" s="11" t="n">
        <x:v>3805</x:v>
      </x:c>
      <x:c r="P477" s="11" t="n">
        <x:v>253</x:v>
      </x:c>
    </x:row>
    <x:row r="478">
      <x:c r="A478" s="11" t="n">
        <x:v>477</x:v>
      </x:c>
      <x:c r="B478" s="11" t="str">
        <x:v>2026-09-03</x:v>
      </x:c>
      <x:c r="C478" s="11" t="str">
        <x:v>L1</x:v>
      </x:c>
      <x:c r="D478" s="11" t="str">
        <x:v>Envasado A</x:v>
      </x:c>
      <x:c r="E478" s="11" t="str">
        <x:v>Matutino</x:v>
      </x:c>
      <x:c r="F478" s="11" t="str">
        <x:v>P003</x:v>
      </x:c>
      <x:c r="G478" s="11" t="str">
        <x:v>Producto Gamma</x:v>
      </x:c>
      <x:c r="H478" s="11" t="n">
        <x:v>480</x:v>
      </x:c>
      <x:c r="I478" s="11" t="n">
        <x:v>22</x:v>
      </x:c>
      <x:c r="J478" s="11" t="n">
        <x:v>39</x:v>
      </x:c>
      <x:c r="K478" s="11" t="n">
        <x:v>419</x:v>
      </x:c>
      <x:c r="L478" s="11" t="n">
        <x:v>8</x:v>
      </x:c>
      <x:c r="M478" s="11" t="n">
        <x:v>3297</x:v>
      </x:c>
      <x:c r="N478" s="11" t="n">
        <x:v>3086</x:v>
      </x:c>
      <x:c r="O478" s="11" t="n">
        <x:v>2939</x:v>
      </x:c>
      <x:c r="P478" s="11" t="n">
        <x:v>147</x:v>
      </x:c>
    </x:row>
    <x:row r="479">
      <x:c r="A479" s="11" t="n">
        <x:v>478</x:v>
      </x:c>
      <x:c r="B479" s="11" t="str">
        <x:v>2026-09-03</x:v>
      </x:c>
      <x:c r="C479" s="11" t="str">
        <x:v>L1</x:v>
      </x:c>
      <x:c r="D479" s="11" t="str">
        <x:v>Envasado A</x:v>
      </x:c>
      <x:c r="E479" s="11" t="str">
        <x:v>Vespertino</x:v>
      </x:c>
      <x:c r="F479" s="11" t="str">
        <x:v>P001</x:v>
      </x:c>
      <x:c r="G479" s="11" t="str">
        <x:v>Producto Alfa</x:v>
      </x:c>
      <x:c r="H479" s="11" t="n">
        <x:v>480</x:v>
      </x:c>
      <x:c r="I479" s="11" t="n">
        <x:v>34</x:v>
      </x:c>
      <x:c r="J479" s="11" t="n">
        <x:v>51</x:v>
      </x:c>
      <x:c r="K479" s="11" t="n">
        <x:v>395</x:v>
      </x:c>
      <x:c r="L479" s="11" t="n">
        <x:v>8</x:v>
      </x:c>
      <x:c r="M479" s="11" t="n">
        <x:v>3211</x:v>
      </x:c>
      <x:c r="N479" s="11" t="n">
        <x:v>2660</x:v>
      </x:c>
      <x:c r="O479" s="11" t="n">
        <x:v>2496</x:v>
      </x:c>
      <x:c r="P479" s="11" t="n">
        <x:v>164</x:v>
      </x:c>
    </x:row>
    <x:row r="480">
      <x:c r="A480" s="11" t="n">
        <x:v>479</x:v>
      </x:c>
      <x:c r="B480" s="11" t="str">
        <x:v>2026-09-03</x:v>
      </x:c>
      <x:c r="C480" s="11" t="str">
        <x:v>L2</x:v>
      </x:c>
      <x:c r="D480" s="11" t="str">
        <x:v>Envasado B</x:v>
      </x:c>
      <x:c r="E480" s="11" t="str">
        <x:v>Matutino</x:v>
      </x:c>
      <x:c r="F480" s="11" t="str">
        <x:v>P002</x:v>
      </x:c>
      <x:c r="G480" s="11" t="str">
        <x:v>Producto Beta</x:v>
      </x:c>
      <x:c r="H480" s="11" t="n">
        <x:v>480</x:v>
      </x:c>
      <x:c r="I480" s="11" t="n">
        <x:v>30</x:v>
      </x:c>
      <x:c r="J480" s="11" t="n">
        <x:v>54</x:v>
      </x:c>
      <x:c r="K480" s="11" t="n">
        <x:v>396</x:v>
      </x:c>
      <x:c r="L480" s="11" t="n">
        <x:v>7.5</x:v>
      </x:c>
      <x:c r="M480" s="11" t="n">
        <x:v>3037</x:v>
      </x:c>
      <x:c r="N480" s="11" t="n">
        <x:v>2718</x:v>
      </x:c>
      <x:c r="O480" s="11" t="n">
        <x:v>2549</x:v>
      </x:c>
      <x:c r="P480" s="11" t="n">
        <x:v>169</x:v>
      </x:c>
    </x:row>
    <x:row r="481">
      <x:c r="A481" s="11" t="n">
        <x:v>480</x:v>
      </x:c>
      <x:c r="B481" s="11" t="str">
        <x:v>2026-09-03</x:v>
      </x:c>
      <x:c r="C481" s="11" t="str">
        <x:v>L2</x:v>
      </x:c>
      <x:c r="D481" s="11" t="str">
        <x:v>Envasado B</x:v>
      </x:c>
      <x:c r="E481" s="11" t="str">
        <x:v>Vespertino</x:v>
      </x:c>
      <x:c r="F481" s="11" t="str">
        <x:v>P003</x:v>
      </x:c>
      <x:c r="G481" s="11" t="str">
        <x:v>Producto Gamma</x:v>
      </x:c>
      <x:c r="H481" s="11" t="n">
        <x:v>480</x:v>
      </x:c>
      <x:c r="I481" s="11" t="n">
        <x:v>23</x:v>
      </x:c>
      <x:c r="J481" s="11" t="n">
        <x:v>30</x:v>
      </x:c>
      <x:c r="K481" s="11" t="n">
        <x:v>427</x:v>
      </x:c>
      <x:c r="L481" s="11" t="n">
        <x:v>7.5</x:v>
      </x:c>
      <x:c r="M481" s="11" t="n">
        <x:v>3084</x:v>
      </x:c>
      <x:c r="N481" s="11" t="n">
        <x:v>2798</x:v>
      </x:c>
      <x:c r="O481" s="11" t="n">
        <x:v>2651</x:v>
      </x:c>
      <x:c r="P481" s="11" t="n">
        <x:v>147</x:v>
      </x:c>
    </x:row>
    <x:row r="482">
      <x:c r="A482" s="11" t="n">
        <x:v>481</x:v>
      </x:c>
      <x:c r="B482" s="11" t="str">
        <x:v>2026-09-03</x:v>
      </x:c>
      <x:c r="C482" s="11" t="str">
        <x:v>L3</x:v>
      </x:c>
      <x:c r="D482" s="11" t="str">
        <x:v>Empaque</x:v>
      </x:c>
      <x:c r="E482" s="11" t="str">
        <x:v>Matutino</x:v>
      </x:c>
      <x:c r="F482" s="11" t="str">
        <x:v>P003</x:v>
      </x:c>
      <x:c r="G482" s="11" t="str">
        <x:v>Producto Gamma</x:v>
      </x:c>
      <x:c r="H482" s="11" t="n">
        <x:v>480</x:v>
      </x:c>
      <x:c r="I482" s="11" t="n">
        <x:v>28</x:v>
      </x:c>
      <x:c r="J482" s="11" t="n">
        <x:v>44</x:v>
      </x:c>
      <x:c r="K482" s="11" t="n">
        <x:v>408</x:v>
      </x:c>
      <x:c r="L482" s="11" t="n">
        <x:v>8.67</x:v>
      </x:c>
      <x:c r="M482" s="11" t="n">
        <x:v>3525</x:v>
      </x:c>
      <x:c r="N482" s="11" t="n">
        <x:v>2890</x:v>
      </x:c>
      <x:c r="O482" s="11" t="n">
        <x:v>2757</x:v>
      </x:c>
      <x:c r="P482" s="11" t="n">
        <x:v>133</x:v>
      </x:c>
    </x:row>
    <x:row r="483">
      <x:c r="A483" s="11" t="n">
        <x:v>482</x:v>
      </x:c>
      <x:c r="B483" s="11" t="str">
        <x:v>2026-09-03</x:v>
      </x:c>
      <x:c r="C483" s="11" t="str">
        <x:v>L3</x:v>
      </x:c>
      <x:c r="D483" s="11" t="str">
        <x:v>Empaque</x:v>
      </x:c>
      <x:c r="E483" s="11" t="str">
        <x:v>Vespertino</x:v>
      </x:c>
      <x:c r="F483" s="11" t="str">
        <x:v>P001</x:v>
      </x:c>
      <x:c r="G483" s="11" t="str">
        <x:v>Producto Alfa</x:v>
      </x:c>
      <x:c r="H483" s="11" t="n">
        <x:v>480</x:v>
      </x:c>
      <x:c r="I483" s="11" t="n">
        <x:v>22</x:v>
      </x:c>
      <x:c r="J483" s="11" t="n">
        <x:v>34</x:v>
      </x:c>
      <x:c r="K483" s="11" t="n">
        <x:v>424</x:v>
      </x:c>
      <x:c r="L483" s="11" t="n">
        <x:v>8.67</x:v>
      </x:c>
      <x:c r="M483" s="11" t="n">
        <x:v>3572</x:v>
      </x:c>
      <x:c r="N483" s="11" t="n">
        <x:v>3416</x:v>
      </x:c>
      <x:c r="O483" s="11" t="n">
        <x:v>3326</x:v>
      </x:c>
      <x:c r="P483" s="11" t="n">
        <x:v>90</x:v>
      </x:c>
    </x:row>
    <x:row r="484">
      <x:c r="A484" s="11" t="n">
        <x:v>483</x:v>
      </x:c>
      <x:c r="B484" s="11" t="str">
        <x:v>2026-09-03</x:v>
      </x:c>
      <x:c r="C484" s="11" t="str">
        <x:v>L4</x:v>
      </x:c>
      <x:c r="D484" s="11" t="str">
        <x:v>Etiquetado</x:v>
      </x:c>
      <x:c r="E484" s="11" t="str">
        <x:v>Matutino</x:v>
      </x:c>
      <x:c r="F484" s="11" t="str">
        <x:v>P002</x:v>
      </x:c>
      <x:c r="G484" s="11" t="str">
        <x:v>Producto Beta</x:v>
      </x:c>
      <x:c r="H484" s="11" t="n">
        <x:v>480</x:v>
      </x:c>
      <x:c r="I484" s="11" t="n">
        <x:v>23</x:v>
      </x:c>
      <x:c r="J484" s="11" t="n">
        <x:v>30</x:v>
      </x:c>
      <x:c r="K484" s="11" t="n">
        <x:v>427</x:v>
      </x:c>
      <x:c r="L484" s="11" t="n">
        <x:v>10</x:v>
      </x:c>
      <x:c r="M484" s="11" t="n">
        <x:v>4113</x:v>
      </x:c>
      <x:c r="N484" s="11" t="n">
        <x:v>3810</x:v>
      </x:c>
      <x:c r="O484" s="11" t="n">
        <x:v>3630</x:v>
      </x:c>
      <x:c r="P484" s="11" t="n">
        <x:v>180</x:v>
      </x:c>
    </x:row>
    <x:row r="485">
      <x:c r="A485" s="11" t="n">
        <x:v>484</x:v>
      </x:c>
      <x:c r="B485" s="11" t="str">
        <x:v>2026-09-03</x:v>
      </x:c>
      <x:c r="C485" s="11" t="str">
        <x:v>L4</x:v>
      </x:c>
      <x:c r="D485" s="11" t="str">
        <x:v>Etiquetado</x:v>
      </x:c>
      <x:c r="E485" s="11" t="str">
        <x:v>Vespertino</x:v>
      </x:c>
      <x:c r="F485" s="11" t="str">
        <x:v>P001</x:v>
      </x:c>
      <x:c r="G485" s="11" t="str">
        <x:v>Producto Alfa</x:v>
      </x:c>
      <x:c r="H485" s="11" t="n">
        <x:v>480</x:v>
      </x:c>
      <x:c r="I485" s="11" t="n">
        <x:v>22</x:v>
      </x:c>
      <x:c r="J485" s="11" t="n">
        <x:v>21</x:v>
      </x:c>
      <x:c r="K485" s="11" t="n">
        <x:v>437</x:v>
      </x:c>
      <x:c r="L485" s="11" t="n">
        <x:v>10</x:v>
      </x:c>
      <x:c r="M485" s="11" t="n">
        <x:v>4122</x:v>
      </x:c>
      <x:c r="N485" s="11" t="n">
        <x:v>3862</x:v>
      </x:c>
      <x:c r="O485" s="11" t="n">
        <x:v>3790</x:v>
      </x:c>
      <x:c r="P485" s="11" t="n">
        <x:v>72</x:v>
      </x:c>
    </x:row>
    <x:row r="486">
      <x:c r="A486" s="11" t="n">
        <x:v>485</x:v>
      </x:c>
      <x:c r="B486" s="11" t="str">
        <x:v>2026-09-04</x:v>
      </x:c>
      <x:c r="C486" s="11" t="str">
        <x:v>L1</x:v>
      </x:c>
      <x:c r="D486" s="11" t="str">
        <x:v>Envasado A</x:v>
      </x:c>
      <x:c r="E486" s="11" t="str">
        <x:v>Matutino</x:v>
      </x:c>
      <x:c r="F486" s="11" t="str">
        <x:v>P001</x:v>
      </x:c>
      <x:c r="G486" s="11" t="str">
        <x:v>Producto Alfa</x:v>
      </x:c>
      <x:c r="H486" s="11" t="n">
        <x:v>480</x:v>
      </x:c>
      <x:c r="I486" s="11" t="n">
        <x:v>35</x:v>
      </x:c>
      <x:c r="J486" s="11" t="n">
        <x:v>59</x:v>
      </x:c>
      <x:c r="K486" s="11" t="n">
        <x:v>386</x:v>
      </x:c>
      <x:c r="L486" s="11" t="n">
        <x:v>8</x:v>
      </x:c>
      <x:c r="M486" s="11" t="n">
        <x:v>3204</x:v>
      </x:c>
      <x:c r="N486" s="11" t="n">
        <x:v>2799</x:v>
      </x:c>
      <x:c r="O486" s="11" t="n">
        <x:v>2720</x:v>
      </x:c>
      <x:c r="P486" s="11" t="n">
        <x:v>79</x:v>
      </x:c>
    </x:row>
    <x:row r="487">
      <x:c r="A487" s="11" t="n">
        <x:v>486</x:v>
      </x:c>
      <x:c r="B487" s="11" t="str">
        <x:v>2026-09-04</x:v>
      </x:c>
      <x:c r="C487" s="11" t="str">
        <x:v>L1</x:v>
      </x:c>
      <x:c r="D487" s="11" t="str">
        <x:v>Envasado A</x:v>
      </x:c>
      <x:c r="E487" s="11" t="str">
        <x:v>Vespertino</x:v>
      </x:c>
      <x:c r="F487" s="11" t="str">
        <x:v>P002</x:v>
      </x:c>
      <x:c r="G487" s="11" t="str">
        <x:v>Producto Beta</x:v>
      </x:c>
      <x:c r="H487" s="11" t="n">
        <x:v>480</x:v>
      </x:c>
      <x:c r="I487" s="11" t="n">
        <x:v>32</x:v>
      </x:c>
      <x:c r="J487" s="11" t="n">
        <x:v>32</x:v>
      </x:c>
      <x:c r="K487" s="11" t="n">
        <x:v>416</x:v>
      </x:c>
      <x:c r="L487" s="11" t="n">
        <x:v>8</x:v>
      </x:c>
      <x:c r="M487" s="11" t="n">
        <x:v>3225</x:v>
      </x:c>
      <x:c r="N487" s="11" t="n">
        <x:v>2817</x:v>
      </x:c>
      <x:c r="O487" s="11" t="n">
        <x:v>2655</x:v>
      </x:c>
      <x:c r="P487" s="11" t="n">
        <x:v>162</x:v>
      </x:c>
    </x:row>
    <x:row r="488">
      <x:c r="A488" s="11" t="n">
        <x:v>487</x:v>
      </x:c>
      <x:c r="B488" s="11" t="str">
        <x:v>2026-09-04</x:v>
      </x:c>
      <x:c r="C488" s="11" t="str">
        <x:v>L2</x:v>
      </x:c>
      <x:c r="D488" s="11" t="str">
        <x:v>Envasado B</x:v>
      </x:c>
      <x:c r="E488" s="11" t="str">
        <x:v>Matutino</x:v>
      </x:c>
      <x:c r="F488" s="11" t="str">
        <x:v>P003</x:v>
      </x:c>
      <x:c r="G488" s="11" t="str">
        <x:v>Producto Gamma</x:v>
      </x:c>
      <x:c r="H488" s="11" t="n">
        <x:v>480</x:v>
      </x:c>
      <x:c r="I488" s="11" t="n">
        <x:v>20</x:v>
      </x:c>
      <x:c r="J488" s="11" t="n">
        <x:v>64</x:v>
      </x:c>
      <x:c r="K488" s="11" t="n">
        <x:v>396</x:v>
      </x:c>
      <x:c r="L488" s="11" t="n">
        <x:v>7.5</x:v>
      </x:c>
      <x:c r="M488" s="11" t="n">
        <x:v>3105</x:v>
      </x:c>
      <x:c r="N488" s="11" t="n">
        <x:v>2830</x:v>
      </x:c>
      <x:c r="O488" s="11" t="n">
        <x:v>2669</x:v>
      </x:c>
      <x:c r="P488" s="11" t="n">
        <x:v>161</x:v>
      </x:c>
    </x:row>
    <x:row r="489">
      <x:c r="A489" s="11" t="n">
        <x:v>488</x:v>
      </x:c>
      <x:c r="B489" s="11" t="str">
        <x:v>2026-09-04</x:v>
      </x:c>
      <x:c r="C489" s="11" t="str">
        <x:v>L2</x:v>
      </x:c>
      <x:c r="D489" s="11" t="str">
        <x:v>Envasado B</x:v>
      </x:c>
      <x:c r="E489" s="11" t="str">
        <x:v>Vespertino</x:v>
      </x:c>
      <x:c r="F489" s="11" t="str">
        <x:v>P001</x:v>
      </x:c>
      <x:c r="G489" s="11" t="str">
        <x:v>Producto Alfa</x:v>
      </x:c>
      <x:c r="H489" s="11" t="n">
        <x:v>480</x:v>
      </x:c>
      <x:c r="I489" s="11" t="n">
        <x:v>31</x:v>
      </x:c>
      <x:c r="J489" s="11" t="n">
        <x:v>12</x:v>
      </x:c>
      <x:c r="K489" s="11" t="n">
        <x:v>437</x:v>
      </x:c>
      <x:c r="L489" s="11" t="n">
        <x:v>7.5</x:v>
      </x:c>
      <x:c r="M489" s="11" t="n">
        <x:v>3030</x:v>
      </x:c>
      <x:c r="N489" s="11" t="n">
        <x:v>3075</x:v>
      </x:c>
      <x:c r="O489" s="11" t="n">
        <x:v>2939</x:v>
      </x:c>
      <x:c r="P489" s="11" t="n">
        <x:v>136</x:v>
      </x:c>
    </x:row>
    <x:row r="490">
      <x:c r="A490" s="11" t="n">
        <x:v>489</x:v>
      </x:c>
      <x:c r="B490" s="11" t="str">
        <x:v>2026-09-04</x:v>
      </x:c>
      <x:c r="C490" s="11" t="str">
        <x:v>L3</x:v>
      </x:c>
      <x:c r="D490" s="11" t="str">
        <x:v>Empaque</x:v>
      </x:c>
      <x:c r="E490" s="11" t="str">
        <x:v>Matutino</x:v>
      </x:c>
      <x:c r="F490" s="11" t="str">
        <x:v>P003</x:v>
      </x:c>
      <x:c r="G490" s="11" t="str">
        <x:v>Producto Gamma</x:v>
      </x:c>
      <x:c r="H490" s="11" t="n">
        <x:v>480</x:v>
      </x:c>
      <x:c r="I490" s="11" t="n">
        <x:v>33</x:v>
      </x:c>
      <x:c r="J490" s="11" t="n">
        <x:v>21</x:v>
      </x:c>
      <x:c r="K490" s="11" t="n">
        <x:v>426</x:v>
      </x:c>
      <x:c r="L490" s="11" t="n">
        <x:v>8.67</x:v>
      </x:c>
      <x:c r="M490" s="11" t="n">
        <x:v>3486</x:v>
      </x:c>
      <x:c r="N490" s="11" t="n">
        <x:v>3367</x:v>
      </x:c>
      <x:c r="O490" s="11" t="n">
        <x:v>3280</x:v>
      </x:c>
      <x:c r="P490" s="11" t="n">
        <x:v>87</x:v>
      </x:c>
    </x:row>
    <x:row r="491">
      <x:c r="A491" s="11" t="n">
        <x:v>490</x:v>
      </x:c>
      <x:c r="B491" s="11" t="str">
        <x:v>2026-09-04</x:v>
      </x:c>
      <x:c r="C491" s="11" t="str">
        <x:v>L3</x:v>
      </x:c>
      <x:c r="D491" s="11" t="str">
        <x:v>Empaque</x:v>
      </x:c>
      <x:c r="E491" s="11" t="str">
        <x:v>Vespertino</x:v>
      </x:c>
      <x:c r="F491" s="11" t="str">
        <x:v>P003</x:v>
      </x:c>
      <x:c r="G491" s="11" t="str">
        <x:v>Producto Gamma</x:v>
      </x:c>
      <x:c r="H491" s="11" t="n">
        <x:v>480</x:v>
      </x:c>
      <x:c r="I491" s="11" t="n">
        <x:v>33</x:v>
      </x:c>
      <x:c r="J491" s="11" t="n">
        <x:v>50</x:v>
      </x:c>
      <x:c r="K491" s="11" t="n">
        <x:v>397</x:v>
      </x:c>
      <x:c r="L491" s="11" t="n">
        <x:v>8.67</x:v>
      </x:c>
      <x:c r="M491" s="11" t="n">
        <x:v>3486</x:v>
      </x:c>
      <x:c r="N491" s="11" t="n">
        <x:v>3077</x:v>
      </x:c>
      <x:c r="O491" s="11" t="n">
        <x:v>2903</x:v>
      </x:c>
      <x:c r="P491" s="11" t="n">
        <x:v>174</x:v>
      </x:c>
    </x:row>
    <x:row r="492">
      <x:c r="A492" s="11" t="n">
        <x:v>491</x:v>
      </x:c>
      <x:c r="B492" s="11" t="str">
        <x:v>2026-09-04</x:v>
      </x:c>
      <x:c r="C492" s="11" t="str">
        <x:v>L4</x:v>
      </x:c>
      <x:c r="D492" s="11" t="str">
        <x:v>Etiquetado</x:v>
      </x:c>
      <x:c r="E492" s="11" t="str">
        <x:v>Matutino</x:v>
      </x:c>
      <x:c r="F492" s="11" t="str">
        <x:v>P002</x:v>
      </x:c>
      <x:c r="G492" s="11" t="str">
        <x:v>Producto Beta</x:v>
      </x:c>
      <x:c r="H492" s="11" t="n">
        <x:v>480</x:v>
      </x:c>
      <x:c r="I492" s="11" t="n">
        <x:v>15</x:v>
      </x:c>
      <x:c r="J492" s="11" t="n">
        <x:v>56</x:v>
      </x:c>
      <x:c r="K492" s="11" t="n">
        <x:v>409</x:v>
      </x:c>
      <x:c r="L492" s="11" t="n">
        <x:v>10</x:v>
      </x:c>
      <x:c r="M492" s="11" t="n">
        <x:v>4185</x:v>
      </x:c>
      <x:c r="N492" s="11" t="n">
        <x:v>3663</x:v>
      </x:c>
      <x:c r="O492" s="11" t="n">
        <x:v>3444</x:v>
      </x:c>
      <x:c r="P492" s="11" t="n">
        <x:v>219</x:v>
      </x:c>
    </x:row>
    <x:row r="493">
      <x:c r="A493" s="11" t="n">
        <x:v>492</x:v>
      </x:c>
      <x:c r="B493" s="11" t="str">
        <x:v>2026-09-04</x:v>
      </x:c>
      <x:c r="C493" s="11" t="str">
        <x:v>L4</x:v>
      </x:c>
      <x:c r="D493" s="11" t="str">
        <x:v>Etiquetado</x:v>
      </x:c>
      <x:c r="E493" s="11" t="str">
        <x:v>Vespertino</x:v>
      </x:c>
      <x:c r="F493" s="11" t="str">
        <x:v>P002</x:v>
      </x:c>
      <x:c r="G493" s="11" t="str">
        <x:v>Producto Beta</x:v>
      </x:c>
      <x:c r="H493" s="11" t="n">
        <x:v>480</x:v>
      </x:c>
      <x:c r="I493" s="11" t="n">
        <x:v>17</x:v>
      </x:c>
      <x:c r="J493" s="11" t="n">
        <x:v>0</x:v>
      </x:c>
      <x:c r="K493" s="11" t="n">
        <x:v>463</x:v>
      </x:c>
      <x:c r="L493" s="11" t="n">
        <x:v>10</x:v>
      </x:c>
      <x:c r="M493" s="11" t="n">
        <x:v>4167</x:v>
      </x:c>
      <x:c r="N493" s="11" t="n">
        <x:v>4131</x:v>
      </x:c>
      <x:c r="O493" s="11" t="n">
        <x:v>3943</x:v>
      </x:c>
      <x:c r="P493" s="11" t="n">
        <x:v>188</x:v>
      </x:c>
    </x:row>
    <x:row r="494">
      <x:c r="A494" s="11" t="n">
        <x:v>493</x:v>
      </x:c>
      <x:c r="B494" s="11" t="str">
        <x:v>2026-09-05</x:v>
      </x:c>
      <x:c r="C494" s="11" t="str">
        <x:v>L1</x:v>
      </x:c>
      <x:c r="D494" s="11" t="str">
        <x:v>Envasado A</x:v>
      </x:c>
      <x:c r="E494" s="11" t="str">
        <x:v>Matutino</x:v>
      </x:c>
      <x:c r="F494" s="11" t="str">
        <x:v>P003</x:v>
      </x:c>
      <x:c r="G494" s="11" t="str">
        <x:v>Producto Gamma</x:v>
      </x:c>
      <x:c r="H494" s="11" t="n">
        <x:v>480</x:v>
      </x:c>
      <x:c r="I494" s="11" t="n">
        <x:v>27</x:v>
      </x:c>
      <x:c r="J494" s="11" t="n">
        <x:v>15</x:v>
      </x:c>
      <x:c r="K494" s="11" t="n">
        <x:v>438</x:v>
      </x:c>
      <x:c r="L494" s="11" t="n">
        <x:v>8</x:v>
      </x:c>
      <x:c r="M494" s="11" t="n">
        <x:v>3261</x:v>
      </x:c>
      <x:c r="N494" s="11" t="n">
        <x:v>3012</x:v>
      </x:c>
      <x:c r="O494" s="11" t="n">
        <x:v>2817</x:v>
      </x:c>
      <x:c r="P494" s="11" t="n">
        <x:v>195</x:v>
      </x:c>
    </x:row>
    <x:row r="495">
      <x:c r="A495" s="11" t="n">
        <x:v>494</x:v>
      </x:c>
      <x:c r="B495" s="11" t="str">
        <x:v>2026-09-05</x:v>
      </x:c>
      <x:c r="C495" s="11" t="str">
        <x:v>L1</x:v>
      </x:c>
      <x:c r="D495" s="11" t="str">
        <x:v>Envasado A</x:v>
      </x:c>
      <x:c r="E495" s="11" t="str">
        <x:v>Vespertino</x:v>
      </x:c>
      <x:c r="F495" s="11" t="str">
        <x:v>P003</x:v>
      </x:c>
      <x:c r="G495" s="11" t="str">
        <x:v>Producto Gamma</x:v>
      </x:c>
      <x:c r="H495" s="11" t="n">
        <x:v>480</x:v>
      </x:c>
      <x:c r="I495" s="11" t="n">
        <x:v>17</x:v>
      </x:c>
      <x:c r="J495" s="11" t="n">
        <x:v>52</x:v>
      </x:c>
      <x:c r="K495" s="11" t="n">
        <x:v>411</x:v>
      </x:c>
      <x:c r="L495" s="11" t="n">
        <x:v>8</x:v>
      </x:c>
      <x:c r="M495" s="11" t="n">
        <x:v>3333</x:v>
      </x:c>
      <x:c r="N495" s="11" t="n">
        <x:v>2591</x:v>
      </x:c>
      <x:c r="O495" s="11" t="n">
        <x:v>2461</x:v>
      </x:c>
      <x:c r="P495" s="11" t="n">
        <x:v>130</x:v>
      </x:c>
    </x:row>
    <x:row r="496">
      <x:c r="A496" s="11" t="n">
        <x:v>495</x:v>
      </x:c>
      <x:c r="B496" s="11" t="str">
        <x:v>2026-09-05</x:v>
      </x:c>
      <x:c r="C496" s="11" t="str">
        <x:v>L2</x:v>
      </x:c>
      <x:c r="D496" s="11" t="str">
        <x:v>Envasado B</x:v>
      </x:c>
      <x:c r="E496" s="11" t="str">
        <x:v>Matutino</x:v>
      </x:c>
      <x:c r="F496" s="11" t="str">
        <x:v>P001</x:v>
      </x:c>
      <x:c r="G496" s="11" t="str">
        <x:v>Producto Alfa</x:v>
      </x:c>
      <x:c r="H496" s="11" t="n">
        <x:v>480</x:v>
      </x:c>
      <x:c r="I496" s="11" t="n">
        <x:v>18</x:v>
      </x:c>
      <x:c r="J496" s="11" t="n">
        <x:v>0</x:v>
      </x:c>
      <x:c r="K496" s="11" t="n">
        <x:v>462</x:v>
      </x:c>
      <x:c r="L496" s="11" t="n">
        <x:v>7.5</x:v>
      </x:c>
      <x:c r="M496" s="11" t="n">
        <x:v>3118</x:v>
      </x:c>
      <x:c r="N496" s="11" t="n">
        <x:v>3267</x:v>
      </x:c>
      <x:c r="O496" s="11" t="n">
        <x:v>3100</x:v>
      </x:c>
      <x:c r="P496" s="11" t="n">
        <x:v>167</x:v>
      </x:c>
    </x:row>
    <x:row r="497">
      <x:c r="A497" s="11" t="n">
        <x:v>496</x:v>
      </x:c>
      <x:c r="B497" s="11" t="str">
        <x:v>2026-09-05</x:v>
      </x:c>
      <x:c r="C497" s="11" t="str">
        <x:v>L2</x:v>
      </x:c>
      <x:c r="D497" s="11" t="str">
        <x:v>Envasado B</x:v>
      </x:c>
      <x:c r="E497" s="11" t="str">
        <x:v>Vespertino</x:v>
      </x:c>
      <x:c r="F497" s="11" t="str">
        <x:v>P003</x:v>
      </x:c>
      <x:c r="G497" s="11" t="str">
        <x:v>Producto Gamma</x:v>
      </x:c>
      <x:c r="H497" s="11" t="n">
        <x:v>480</x:v>
      </x:c>
      <x:c r="I497" s="11" t="n">
        <x:v>27</x:v>
      </x:c>
      <x:c r="J497" s="11" t="n">
        <x:v>59</x:v>
      </x:c>
      <x:c r="K497" s="11" t="n">
        <x:v>394</x:v>
      </x:c>
      <x:c r="L497" s="11" t="n">
        <x:v>7.5</x:v>
      </x:c>
      <x:c r="M497" s="11" t="n">
        <x:v>3057</x:v>
      </x:c>
      <x:c r="N497" s="11" t="n">
        <x:v>2805</x:v>
      </x:c>
      <x:c r="O497" s="11" t="n">
        <x:v>2658</x:v>
      </x:c>
      <x:c r="P497" s="11" t="n">
        <x:v>147</x:v>
      </x:c>
    </x:row>
    <x:row r="498">
      <x:c r="A498" s="11" t="n">
        <x:v>497</x:v>
      </x:c>
      <x:c r="B498" s="11" t="str">
        <x:v>2026-09-05</x:v>
      </x:c>
      <x:c r="C498" s="11" t="str">
        <x:v>L3</x:v>
      </x:c>
      <x:c r="D498" s="11" t="str">
        <x:v>Empaque</x:v>
      </x:c>
      <x:c r="E498" s="11" t="str">
        <x:v>Matutino</x:v>
      </x:c>
      <x:c r="F498" s="11" t="str">
        <x:v>P003</x:v>
      </x:c>
      <x:c r="G498" s="11" t="str">
        <x:v>Producto Gamma</x:v>
      </x:c>
      <x:c r="H498" s="11" t="n">
        <x:v>480</x:v>
      </x:c>
      <x:c r="I498" s="11" t="n">
        <x:v>23</x:v>
      </x:c>
      <x:c r="J498" s="11" t="n">
        <x:v>33</x:v>
      </x:c>
      <x:c r="K498" s="11" t="n">
        <x:v>424</x:v>
      </x:c>
      <x:c r="L498" s="11" t="n">
        <x:v>8.67</x:v>
      </x:c>
      <x:c r="M498" s="11" t="n">
        <x:v>3564</x:v>
      </x:c>
      <x:c r="N498" s="11" t="n">
        <x:v>3166</x:v>
      </x:c>
      <x:c r="O498" s="11" t="n">
        <x:v>3014</x:v>
      </x:c>
      <x:c r="P498" s="11" t="n">
        <x:v>152</x:v>
      </x:c>
    </x:row>
    <x:row r="499">
      <x:c r="A499" s="11" t="n">
        <x:v>498</x:v>
      </x:c>
      <x:c r="B499" s="11" t="str">
        <x:v>2026-09-05</x:v>
      </x:c>
      <x:c r="C499" s="11" t="str">
        <x:v>L3</x:v>
      </x:c>
      <x:c r="D499" s="11" t="str">
        <x:v>Empaque</x:v>
      </x:c>
      <x:c r="E499" s="11" t="str">
        <x:v>Vespertino</x:v>
      </x:c>
      <x:c r="F499" s="11" t="str">
        <x:v>P002</x:v>
      </x:c>
      <x:c r="G499" s="11" t="str">
        <x:v>Producto Beta</x:v>
      </x:c>
      <x:c r="H499" s="11" t="n">
        <x:v>480</x:v>
      </x:c>
      <x:c r="I499" s="11" t="n">
        <x:v>28</x:v>
      </x:c>
      <x:c r="J499" s="11" t="n">
        <x:v>55</x:v>
      </x:c>
      <x:c r="K499" s="11" t="n">
        <x:v>397</x:v>
      </x:c>
      <x:c r="L499" s="11" t="n">
        <x:v>8.67</x:v>
      </x:c>
      <x:c r="M499" s="11" t="n">
        <x:v>3525</x:v>
      </x:c>
      <x:c r="N499" s="11" t="n">
        <x:v>3211</x:v>
      </x:c>
      <x:c r="O499" s="11" t="n">
        <x:v>3065</x:v>
      </x:c>
      <x:c r="P499" s="11" t="n">
        <x:v>146</x:v>
      </x:c>
    </x:row>
    <x:row r="500">
      <x:c r="A500" s="11" t="n">
        <x:v>499</x:v>
      </x:c>
      <x:c r="B500" s="11" t="str">
        <x:v>2026-09-05</x:v>
      </x:c>
      <x:c r="C500" s="11" t="str">
        <x:v>L4</x:v>
      </x:c>
      <x:c r="D500" s="11" t="str">
        <x:v>Etiquetado</x:v>
      </x:c>
      <x:c r="E500" s="11" t="str">
        <x:v>Matutino</x:v>
      </x:c>
      <x:c r="F500" s="11" t="str">
        <x:v>P002</x:v>
      </x:c>
      <x:c r="G500" s="11" t="str">
        <x:v>Producto Beta</x:v>
      </x:c>
      <x:c r="H500" s="11" t="n">
        <x:v>480</x:v>
      </x:c>
      <x:c r="I500" s="11" t="n">
        <x:v>17</x:v>
      </x:c>
      <x:c r="J500" s="11" t="n">
        <x:v>30</x:v>
      </x:c>
      <x:c r="K500" s="11" t="n">
        <x:v>433</x:v>
      </x:c>
      <x:c r="L500" s="11" t="n">
        <x:v>10</x:v>
      </x:c>
      <x:c r="M500" s="11" t="n">
        <x:v>4167</x:v>
      </x:c>
      <x:c r="N500" s="11" t="n">
        <x:v>3778</x:v>
      </x:c>
      <x:c r="O500" s="11" t="n">
        <x:v>3551</x:v>
      </x:c>
      <x:c r="P500" s="11" t="n">
        <x:v>227</x:v>
      </x:c>
    </x:row>
    <x:row r="501">
      <x:c r="A501" t="n">
        <x:v>500</x:v>
      </x:c>
      <x:c r="B501" t="str">
        <x:v>2026-09-05</x:v>
      </x:c>
      <x:c r="C501" t="str">
        <x:v>L4</x:v>
      </x:c>
      <x:c r="D501" t="str">
        <x:v>Etiquetado</x:v>
      </x:c>
      <x:c r="E501" t="str">
        <x:v>Vespertino</x:v>
      </x:c>
      <x:c r="F501" t="str">
        <x:v>P002</x:v>
      </x:c>
      <x:c r="G501" t="str">
        <x:v>Producto Beta</x:v>
      </x:c>
      <x:c r="H501" t="n">
        <x:v>480</x:v>
      </x:c>
      <x:c r="I501" t="n">
        <x:v>19</x:v>
      </x:c>
      <x:c r="J501" t="n">
        <x:v>36</x:v>
      </x:c>
      <x:c r="K501" t="n">
        <x:v>425</x:v>
      </x:c>
      <x:c r="L501" t="n">
        <x:v>10</x:v>
      </x:c>
      <x:c r="M501" t="n">
        <x:v>4149</x:v>
      </x:c>
      <x:c r="N501" t="n">
        <x:v>3623</x:v>
      </x:c>
      <x:c r="O501" t="n">
        <x:v>3457</x:v>
      </x:c>
      <x:c r="P501" t="n">
        <x:v>166</x:v>
      </x:c>
    </x:row>
    <x:row r="502">
      <x:c r="A502" t="n">
        <x:v>501</x:v>
      </x:c>
      <x:c r="B502" t="str">
        <x:v>2026-09-06</x:v>
      </x:c>
      <x:c r="C502" t="str">
        <x:v>L1</x:v>
      </x:c>
      <x:c r="D502" t="str">
        <x:v>Envasado A</x:v>
      </x:c>
      <x:c r="E502" t="str">
        <x:v>Matutino</x:v>
      </x:c>
      <x:c r="F502" t="str">
        <x:v>P001</x:v>
      </x:c>
      <x:c r="G502" t="str">
        <x:v>Producto Alfa</x:v>
      </x:c>
      <x:c r="H502" t="n">
        <x:v>480</x:v>
      </x:c>
      <x:c r="I502" t="n">
        <x:v>27</x:v>
      </x:c>
      <x:c r="J502" t="n">
        <x:v>23</x:v>
      </x:c>
      <x:c r="K502" t="n">
        <x:v>430</x:v>
      </x:c>
      <x:c r="L502" t="n">
        <x:v>8</x:v>
      </x:c>
      <x:c r="M502" t="n">
        <x:v>3261</x:v>
      </x:c>
      <x:c r="N502" t="n">
        <x:v>3197</x:v>
      </x:c>
      <x:c r="O502" t="n">
        <x:v>3102</x:v>
      </x:c>
      <x:c r="P502" t="n">
        <x:v>95</x:v>
      </x:c>
    </x:row>
    <x:row r="503">
      <x:c r="A503" t="n">
        <x:v>502</x:v>
      </x:c>
      <x:c r="B503" t="str">
        <x:v>2026-09-06</x:v>
      </x:c>
      <x:c r="C503" t="str">
        <x:v>L1</x:v>
      </x:c>
      <x:c r="D503" t="str">
        <x:v>Envasado A</x:v>
      </x:c>
      <x:c r="E503" t="str">
        <x:v>Vespertino</x:v>
      </x:c>
      <x:c r="F503" t="str">
        <x:v>P002</x:v>
      </x:c>
      <x:c r="G503" t="str">
        <x:v>Producto Beta</x:v>
      </x:c>
      <x:c r="H503" t="n">
        <x:v>480</x:v>
      </x:c>
      <x:c r="I503" t="n">
        <x:v>23</x:v>
      </x:c>
      <x:c r="J503" t="n">
        <x:v>28</x:v>
      </x:c>
      <x:c r="K503" t="n">
        <x:v>429</x:v>
      </x:c>
      <x:c r="L503" t="n">
        <x:v>8</x:v>
      </x:c>
      <x:c r="M503" t="n">
        <x:v>3290</x:v>
      </x:c>
      <x:c r="N503" t="n">
        <x:v>3175</x:v>
      </x:c>
      <x:c r="O503" t="n">
        <x:v>2994</x:v>
      </x:c>
      <x:c r="P503" t="n">
        <x:v>181</x:v>
      </x:c>
    </x:row>
    <x:row r="504">
      <x:c r="A504" t="n">
        <x:v>503</x:v>
      </x:c>
      <x:c r="B504" t="str">
        <x:v>2026-09-06</x:v>
      </x:c>
      <x:c r="C504" t="str">
        <x:v>L2</x:v>
      </x:c>
      <x:c r="D504" t="str">
        <x:v>Envasado B</x:v>
      </x:c>
      <x:c r="E504" t="str">
        <x:v>Matutino</x:v>
      </x:c>
      <x:c r="F504" t="str">
        <x:v>P002</x:v>
      </x:c>
      <x:c r="G504" t="str">
        <x:v>Producto Beta</x:v>
      </x:c>
      <x:c r="H504" t="n">
        <x:v>480</x:v>
      </x:c>
      <x:c r="I504" t="n">
        <x:v>29</x:v>
      </x:c>
      <x:c r="J504" t="n">
        <x:v>3</x:v>
      </x:c>
      <x:c r="K504" t="n">
        <x:v>448</x:v>
      </x:c>
      <x:c r="L504" t="n">
        <x:v>7.5</x:v>
      </x:c>
      <x:c r="M504" t="n">
        <x:v>3044</x:v>
      </x:c>
      <x:c r="N504" t="n">
        <x:v>2994</x:v>
      </x:c>
      <x:c r="O504" t="n">
        <x:v>2826</x:v>
      </x:c>
      <x:c r="P504" t="n">
        <x:v>168</x:v>
      </x:c>
    </x:row>
    <x:row r="505">
      <x:c r="A505" t="n">
        <x:v>504</x:v>
      </x:c>
      <x:c r="B505" t="str">
        <x:v>2026-09-06</x:v>
      </x:c>
      <x:c r="C505" t="str">
        <x:v>L2</x:v>
      </x:c>
      <x:c r="D505" t="str">
        <x:v>Envasado B</x:v>
      </x:c>
      <x:c r="E505" t="str">
        <x:v>Vespertino</x:v>
      </x:c>
      <x:c r="F505" t="str">
        <x:v>P003</x:v>
      </x:c>
      <x:c r="G505" t="str">
        <x:v>Producto Gamma</x:v>
      </x:c>
      <x:c r="H505" t="n">
        <x:v>480</x:v>
      </x:c>
      <x:c r="I505" t="n">
        <x:v>17</x:v>
      </x:c>
      <x:c r="J505" t="n">
        <x:v>33</x:v>
      </x:c>
      <x:c r="K505" t="n">
        <x:v>430</x:v>
      </x:c>
      <x:c r="L505" t="n">
        <x:v>7.5</x:v>
      </x:c>
      <x:c r="M505" t="n">
        <x:v>3125</x:v>
      </x:c>
      <x:c r="N505" t="n">
        <x:v>2726</x:v>
      </x:c>
      <x:c r="O505" t="n">
        <x:v>2556</x:v>
      </x:c>
      <x:c r="P505" t="n">
        <x:v>170</x:v>
      </x:c>
    </x:row>
    <x:row r="506">
      <x:c r="A506" t="n">
        <x:v>505</x:v>
      </x:c>
      <x:c r="B506" t="str">
        <x:v>2026-09-07</x:v>
      </x:c>
      <x:c r="C506" t="str">
        <x:v>L1</x:v>
      </x:c>
      <x:c r="D506" t="str">
        <x:v>Envasado A</x:v>
      </x:c>
      <x:c r="E506" t="str">
        <x:v>Matutino</x:v>
      </x:c>
      <x:c r="F506" t="str">
        <x:v>P002</x:v>
      </x:c>
      <x:c r="G506" t="str">
        <x:v>Producto Beta</x:v>
      </x:c>
      <x:c r="H506" t="n">
        <x:v>480</x:v>
      </x:c>
      <x:c r="I506" t="n">
        <x:v>15</x:v>
      </x:c>
      <x:c r="J506" t="n">
        <x:v>22</x:v>
      </x:c>
      <x:c r="K506" t="n">
        <x:v>443</x:v>
      </x:c>
      <x:c r="L506" t="n">
        <x:v>8</x:v>
      </x:c>
      <x:c r="M506" t="n">
        <x:v>3348</x:v>
      </x:c>
      <x:c r="N506" t="n">
        <x:v>3377</x:v>
      </x:c>
      <x:c r="O506" t="n">
        <x:v>3249</x:v>
      </x:c>
      <x:c r="P506" t="n">
        <x:v>128</x:v>
      </x:c>
    </x:row>
    <x:row r="507">
      <x:c r="A507" t="n">
        <x:v>506</x:v>
      </x:c>
      <x:c r="B507" t="str">
        <x:v>2026-09-07</x:v>
      </x:c>
      <x:c r="C507" t="str">
        <x:v>L1</x:v>
      </x:c>
      <x:c r="D507" t="str">
        <x:v>Envasado A</x:v>
      </x:c>
      <x:c r="E507" t="str">
        <x:v>Vespertino</x:v>
      </x:c>
      <x:c r="F507" t="str">
        <x:v>P001</x:v>
      </x:c>
      <x:c r="G507" t="str">
        <x:v>Producto Alfa</x:v>
      </x:c>
      <x:c r="H507" t="n">
        <x:v>480</x:v>
      </x:c>
      <x:c r="I507" t="n">
        <x:v>33</x:v>
      </x:c>
      <x:c r="J507" t="n">
        <x:v>52</x:v>
      </x:c>
      <x:c r="K507" t="n">
        <x:v>395</x:v>
      </x:c>
      <x:c r="L507" t="n">
        <x:v>8</x:v>
      </x:c>
      <x:c r="M507" t="n">
        <x:v>3218</x:v>
      </x:c>
      <x:c r="N507" t="n">
        <x:v>2661</x:v>
      </x:c>
      <x:c r="O507" t="n">
        <x:v>2548</x:v>
      </x:c>
      <x:c r="P507" t="n">
        <x:v>113</x:v>
      </x:c>
    </x:row>
    <x:row r="508">
      <x:c r="A508" t="n">
        <x:v>507</x:v>
      </x:c>
      <x:c r="B508" t="str">
        <x:v>2026-09-07</x:v>
      </x:c>
      <x:c r="C508" t="str">
        <x:v>L2</x:v>
      </x:c>
      <x:c r="D508" t="str">
        <x:v>Envasado B</x:v>
      </x:c>
      <x:c r="E508" t="str">
        <x:v>Matutino</x:v>
      </x:c>
      <x:c r="F508" t="str">
        <x:v>P001</x:v>
      </x:c>
      <x:c r="G508" t="str">
        <x:v>Producto Alfa</x:v>
      </x:c>
      <x:c r="H508" t="n">
        <x:v>480</x:v>
      </x:c>
      <x:c r="I508" t="n">
        <x:v>19</x:v>
      </x:c>
      <x:c r="J508" t="n">
        <x:v>25</x:v>
      </x:c>
      <x:c r="K508" t="n">
        <x:v>436</x:v>
      </x:c>
      <x:c r="L508" t="n">
        <x:v>7.5</x:v>
      </x:c>
      <x:c r="M508" t="n">
        <x:v>3111</x:v>
      </x:c>
      <x:c r="N508" t="n">
        <x:v>3091</x:v>
      </x:c>
      <x:c r="O508" t="n">
        <x:v>2981</x:v>
      </x:c>
      <x:c r="P508" t="n">
        <x:v>110</x:v>
      </x:c>
    </x:row>
    <x:row r="509">
      <x:c r="A509" t="n">
        <x:v>508</x:v>
      </x:c>
      <x:c r="B509" t="str">
        <x:v>2026-09-07</x:v>
      </x:c>
      <x:c r="C509" t="str">
        <x:v>L2</x:v>
      </x:c>
      <x:c r="D509" t="str">
        <x:v>Envasado B</x:v>
      </x:c>
      <x:c r="E509" t="str">
        <x:v>Vespertino</x:v>
      </x:c>
      <x:c r="F509" t="str">
        <x:v>P002</x:v>
      </x:c>
      <x:c r="G509" t="str">
        <x:v>Producto Beta</x:v>
      </x:c>
      <x:c r="H509" t="n">
        <x:v>480</x:v>
      </x:c>
      <x:c r="I509" t="n">
        <x:v>28</x:v>
      </x:c>
      <x:c r="J509" t="n">
        <x:v>38</x:v>
      </x:c>
      <x:c r="K509" t="n">
        <x:v>414</x:v>
      </x:c>
      <x:c r="L509" t="n">
        <x:v>7.5</x:v>
      </x:c>
      <x:c r="M509" t="n">
        <x:v>3051</x:v>
      </x:c>
      <x:c r="N509" t="n">
        <x:v>2750</x:v>
      </x:c>
      <x:c r="O509" t="n">
        <x:v>2639</x:v>
      </x:c>
      <x:c r="P509" t="n">
        <x:v>111</x:v>
      </x:c>
    </x:row>
    <x:row r="510">
      <x:c r="A510" t="n">
        <x:v>509</x:v>
      </x:c>
      <x:c r="B510" t="str">
        <x:v>2026-09-07</x:v>
      </x:c>
      <x:c r="C510" t="str">
        <x:v>L3</x:v>
      </x:c>
      <x:c r="D510" t="str">
        <x:v>Empaque</x:v>
      </x:c>
      <x:c r="E510" t="str">
        <x:v>Matutino</x:v>
      </x:c>
      <x:c r="F510" t="str">
        <x:v>P002</x:v>
      </x:c>
      <x:c r="G510" t="str">
        <x:v>Producto Beta</x:v>
      </x:c>
      <x:c r="H510" t="n">
        <x:v>480</x:v>
      </x:c>
      <x:c r="I510" t="n">
        <x:v>23</x:v>
      </x:c>
      <x:c r="J510" t="n">
        <x:v>61</x:v>
      </x:c>
      <x:c r="K510" t="n">
        <x:v>396</x:v>
      </x:c>
      <x:c r="L510" t="n">
        <x:v>8.67</x:v>
      </x:c>
      <x:c r="M510" t="n">
        <x:v>3564</x:v>
      </x:c>
      <x:c r="N510" t="n">
        <x:v>3038</x:v>
      </x:c>
      <x:c r="O510" t="n">
        <x:v>2805</x:v>
      </x:c>
      <x:c r="P510" t="n">
        <x:v>233</x:v>
      </x:c>
    </x:row>
    <x:row r="511">
      <x:c r="A511" t="n">
        <x:v>510</x:v>
      </x:c>
      <x:c r="B511" t="str">
        <x:v>2026-09-07</x:v>
      </x:c>
      <x:c r="C511" t="str">
        <x:v>L3</x:v>
      </x:c>
      <x:c r="D511" t="str">
        <x:v>Empaque</x:v>
      </x:c>
      <x:c r="E511" t="str">
        <x:v>Vespertino</x:v>
      </x:c>
      <x:c r="F511" t="str">
        <x:v>P002</x:v>
      </x:c>
      <x:c r="G511" t="str">
        <x:v>Producto Beta</x:v>
      </x:c>
      <x:c r="H511" t="n">
        <x:v>480</x:v>
      </x:c>
      <x:c r="I511" t="n">
        <x:v>18</x:v>
      </x:c>
      <x:c r="J511" t="n">
        <x:v>28</x:v>
      </x:c>
      <x:c r="K511" t="n">
        <x:v>434</x:v>
      </x:c>
      <x:c r="L511" t="n">
        <x:v>8.67</x:v>
      </x:c>
      <x:c r="M511" t="n">
        <x:v>3603</x:v>
      </x:c>
      <x:c r="N511" t="n">
        <x:v>3435</x:v>
      </x:c>
      <x:c r="O511" t="n">
        <x:v>3232</x:v>
      </x:c>
      <x:c r="P511" t="n">
        <x:v>203</x:v>
      </x:c>
    </x:row>
    <x:row r="512">
      <x:c r="A512" t="n">
        <x:v>511</x:v>
      </x:c>
      <x:c r="B512" t="str">
        <x:v>2026-09-07</x:v>
      </x:c>
      <x:c r="C512" t="str">
        <x:v>L4</x:v>
      </x:c>
      <x:c r="D512" t="str">
        <x:v>Etiquetado</x:v>
      </x:c>
      <x:c r="E512" t="str">
        <x:v>Matutino</x:v>
      </x:c>
      <x:c r="F512" t="str">
        <x:v>P002</x:v>
      </x:c>
      <x:c r="G512" t="str">
        <x:v>Producto Beta</x:v>
      </x:c>
      <x:c r="H512" t="n">
        <x:v>480</x:v>
      </x:c>
      <x:c r="I512" t="n">
        <x:v>25</x:v>
      </x:c>
      <x:c r="J512" t="n">
        <x:v>39</x:v>
      </x:c>
      <x:c r="K512" t="n">
        <x:v>416</x:v>
      </x:c>
      <x:c r="L512" t="n">
        <x:v>10</x:v>
      </x:c>
      <x:c r="M512" t="n">
        <x:v>4095</x:v>
      </x:c>
      <x:c r="N512" t="n">
        <x:v>3632</x:v>
      </x:c>
      <x:c r="O512" t="n">
        <x:v>3444</x:v>
      </x:c>
      <x:c r="P512" t="n">
        <x:v>188</x:v>
      </x:c>
    </x:row>
    <x:row r="513">
      <x:c r="A513" t="n">
        <x:v>512</x:v>
      </x:c>
      <x:c r="B513" t="str">
        <x:v>2026-09-07</x:v>
      </x:c>
      <x:c r="C513" t="str">
        <x:v>L4</x:v>
      </x:c>
      <x:c r="D513" t="str">
        <x:v>Etiquetado</x:v>
      </x:c>
      <x:c r="E513" t="str">
        <x:v>Vespertino</x:v>
      </x:c>
      <x:c r="F513" t="str">
        <x:v>P002</x:v>
      </x:c>
      <x:c r="G513" t="str">
        <x:v>Producto Beta</x:v>
      </x:c>
      <x:c r="H513" t="n">
        <x:v>480</x:v>
      </x:c>
      <x:c r="I513" t="n">
        <x:v>35</x:v>
      </x:c>
      <x:c r="J513" t="n">
        <x:v>9</x:v>
      </x:c>
      <x:c r="K513" t="n">
        <x:v>436</x:v>
      </x:c>
      <x:c r="L513" t="n">
        <x:v>10</x:v>
      </x:c>
      <x:c r="M513" t="n">
        <x:v>4005</x:v>
      </x:c>
      <x:c r="N513" t="n">
        <x:v>4072</x:v>
      </x:c>
      <x:c r="O513" t="n">
        <x:v>3823</x:v>
      </x:c>
      <x:c r="P513" t="n">
        <x:v>249</x:v>
      </x:c>
    </x:row>
    <x:row r="514">
      <x:c r="A514" t="n">
        <x:v>513</x:v>
      </x:c>
      <x:c r="B514" t="str">
        <x:v>2026-09-08</x:v>
      </x:c>
      <x:c r="C514" t="str">
        <x:v>L1</x:v>
      </x:c>
      <x:c r="D514" t="str">
        <x:v>Envasado A</x:v>
      </x:c>
      <x:c r="E514" t="str">
        <x:v>Matutino</x:v>
      </x:c>
      <x:c r="F514" t="str">
        <x:v>P002</x:v>
      </x:c>
      <x:c r="G514" t="str">
        <x:v>Producto Beta</x:v>
      </x:c>
      <x:c r="H514" t="n">
        <x:v>480</x:v>
      </x:c>
      <x:c r="I514" t="n">
        <x:v>34</x:v>
      </x:c>
      <x:c r="J514" t="n">
        <x:v>41</x:v>
      </x:c>
      <x:c r="K514" t="n">
        <x:v>405</x:v>
      </x:c>
      <x:c r="L514" t="n">
        <x:v>8</x:v>
      </x:c>
      <x:c r="M514" t="n">
        <x:v>3211</x:v>
      </x:c>
      <x:c r="N514" t="n">
        <x:v>2916</x:v>
      </x:c>
      <x:c r="O514" t="n">
        <x:v>2705</x:v>
      </x:c>
      <x:c r="P514" t="n">
        <x:v>211</x:v>
      </x:c>
    </x:row>
    <x:row r="515">
      <x:c r="A515" t="n">
        <x:v>514</x:v>
      </x:c>
      <x:c r="B515" t="str">
        <x:v>2026-09-08</x:v>
      </x:c>
      <x:c r="C515" t="str">
        <x:v>L1</x:v>
      </x:c>
      <x:c r="D515" t="str">
        <x:v>Envasado A</x:v>
      </x:c>
      <x:c r="E515" t="str">
        <x:v>Vespertino</x:v>
      </x:c>
      <x:c r="F515" t="str">
        <x:v>P002</x:v>
      </x:c>
      <x:c r="G515" t="str">
        <x:v>Producto Beta</x:v>
      </x:c>
      <x:c r="H515" t="n">
        <x:v>480</x:v>
      </x:c>
      <x:c r="I515" t="n">
        <x:v>24</x:v>
      </x:c>
      <x:c r="J515" t="n">
        <x:v>80</x:v>
      </x:c>
      <x:c r="K515" t="n">
        <x:v>376</x:v>
      </x:c>
      <x:c r="L515" t="n">
        <x:v>8</x:v>
      </x:c>
      <x:c r="M515" t="n">
        <x:v>3283</x:v>
      </x:c>
      <x:c r="N515" t="n">
        <x:v>2719</x:v>
      </x:c>
      <x:c r="O515" t="n">
        <x:v>2509</x:v>
      </x:c>
      <x:c r="P515" t="n">
        <x:v>210</x:v>
      </x:c>
    </x:row>
    <x:row r="516">
      <x:c r="A516" t="n">
        <x:v>515</x:v>
      </x:c>
      <x:c r="B516" t="str">
        <x:v>2026-09-08</x:v>
      </x:c>
      <x:c r="C516" t="str">
        <x:v>L2</x:v>
      </x:c>
      <x:c r="D516" t="str">
        <x:v>Envasado B</x:v>
      </x:c>
      <x:c r="E516" t="str">
        <x:v>Matutino</x:v>
      </x:c>
      <x:c r="F516" t="str">
        <x:v>P003</x:v>
      </x:c>
      <x:c r="G516" t="str">
        <x:v>Producto Gamma</x:v>
      </x:c>
      <x:c r="H516" t="n">
        <x:v>480</x:v>
      </x:c>
      <x:c r="I516" t="n">
        <x:v>22</x:v>
      </x:c>
      <x:c r="J516" t="n">
        <x:v>19</x:v>
      </x:c>
      <x:c r="K516" t="n">
        <x:v>439</x:v>
      </x:c>
      <x:c r="L516" t="n">
        <x:v>7.5</x:v>
      </x:c>
      <x:c r="M516" t="n">
        <x:v>3091</x:v>
      </x:c>
      <x:c r="N516" t="n">
        <x:v>3102</x:v>
      </x:c>
      <x:c r="O516" t="n">
        <x:v>2954</x:v>
      </x:c>
      <x:c r="P516" t="n">
        <x:v>148</x:v>
      </x:c>
    </x:row>
    <x:row r="517">
      <x:c r="A517" t="n">
        <x:v>516</x:v>
      </x:c>
      <x:c r="B517" t="str">
        <x:v>2026-09-08</x:v>
      </x:c>
      <x:c r="C517" t="str">
        <x:v>L2</x:v>
      </x:c>
      <x:c r="D517" t="str">
        <x:v>Envasado B</x:v>
      </x:c>
      <x:c r="E517" t="str">
        <x:v>Vespertino</x:v>
      </x:c>
      <x:c r="F517" t="str">
        <x:v>P003</x:v>
      </x:c>
      <x:c r="G517" t="str">
        <x:v>Producto Gamma</x:v>
      </x:c>
      <x:c r="H517" t="n">
        <x:v>480</x:v>
      </x:c>
      <x:c r="I517" t="n">
        <x:v>21</x:v>
      </x:c>
      <x:c r="J517" t="n">
        <x:v>7</x:v>
      </x:c>
      <x:c r="K517" t="n">
        <x:v>452</x:v>
      </x:c>
      <x:c r="L517" t="n">
        <x:v>7.5</x:v>
      </x:c>
      <x:c r="M517" t="n">
        <x:v>3098</x:v>
      </x:c>
      <x:c r="N517" t="n">
        <x:v>2924</x:v>
      </x:c>
      <x:c r="O517" t="n">
        <x:v>2753</x:v>
      </x:c>
      <x:c r="P517" t="n">
        <x:v>171</x:v>
      </x:c>
    </x:row>
    <x:row r="518">
      <x:c r="A518" t="n">
        <x:v>517</x:v>
      </x:c>
      <x:c r="B518" t="str">
        <x:v>2026-09-08</x:v>
      </x:c>
      <x:c r="C518" t="str">
        <x:v>L3</x:v>
      </x:c>
      <x:c r="D518" t="str">
        <x:v>Empaque</x:v>
      </x:c>
      <x:c r="E518" t="str">
        <x:v>Matutino</x:v>
      </x:c>
      <x:c r="F518" t="str">
        <x:v>P003</x:v>
      </x:c>
      <x:c r="G518" t="str">
        <x:v>Producto Gamma</x:v>
      </x:c>
      <x:c r="H518" t="n">
        <x:v>480</x:v>
      </x:c>
      <x:c r="I518" t="n">
        <x:v>32</x:v>
      </x:c>
      <x:c r="J518" t="n">
        <x:v>62</x:v>
      </x:c>
      <x:c r="K518" t="n">
        <x:v>386</x:v>
      </x:c>
      <x:c r="L518" t="n">
        <x:v>8.67</x:v>
      </x:c>
      <x:c r="M518" t="n">
        <x:v>3494</x:v>
      </x:c>
      <x:c r="N518" t="n">
        <x:v>3085</x:v>
      </x:c>
      <x:c r="O518" t="n">
        <x:v>2954</x:v>
      </x:c>
      <x:c r="P518" t="n">
        <x:v>131</x:v>
      </x:c>
    </x:row>
    <x:row r="519">
      <x:c r="A519" t="n">
        <x:v>518</x:v>
      </x:c>
      <x:c r="B519" t="str">
        <x:v>2026-09-08</x:v>
      </x:c>
      <x:c r="C519" t="str">
        <x:v>L3</x:v>
      </x:c>
      <x:c r="D519" t="str">
        <x:v>Empaque</x:v>
      </x:c>
      <x:c r="E519" t="str">
        <x:v>Vespertino</x:v>
      </x:c>
      <x:c r="F519" t="str">
        <x:v>P002</x:v>
      </x:c>
      <x:c r="G519" t="str">
        <x:v>Producto Beta</x:v>
      </x:c>
      <x:c r="H519" t="n">
        <x:v>480</x:v>
      </x:c>
      <x:c r="I519" t="n">
        <x:v>17</x:v>
      </x:c>
      <x:c r="J519" t="n">
        <x:v>22</x:v>
      </x:c>
      <x:c r="K519" t="n">
        <x:v>441</x:v>
      </x:c>
      <x:c r="L519" t="n">
        <x:v>8.67</x:v>
      </x:c>
      <x:c r="M519" t="n">
        <x:v>3611</x:v>
      </x:c>
      <x:c r="N519" t="n">
        <x:v>3606</x:v>
      </x:c>
      <x:c r="O519" t="n">
        <x:v>3319</x:v>
      </x:c>
      <x:c r="P519" t="n">
        <x:v>287</x:v>
      </x:c>
    </x:row>
    <x:row r="520">
      <x:c r="A520" t="n">
        <x:v>519</x:v>
      </x:c>
      <x:c r="B520" t="str">
        <x:v>2026-09-08</x:v>
      </x:c>
      <x:c r="C520" t="str">
        <x:v>L4</x:v>
      </x:c>
      <x:c r="D520" t="str">
        <x:v>Etiquetado</x:v>
      </x:c>
      <x:c r="E520" t="str">
        <x:v>Matutino</x:v>
      </x:c>
      <x:c r="F520" t="str">
        <x:v>P002</x:v>
      </x:c>
      <x:c r="G520" t="str">
        <x:v>Producto Beta</x:v>
      </x:c>
      <x:c r="H520" t="n">
        <x:v>480</x:v>
      </x:c>
      <x:c r="I520" t="n">
        <x:v>30</x:v>
      </x:c>
      <x:c r="J520" t="n">
        <x:v>39</x:v>
      </x:c>
      <x:c r="K520" t="n">
        <x:v>411</x:v>
      </x:c>
      <x:c r="L520" t="n">
        <x:v>10</x:v>
      </x:c>
      <x:c r="M520" t="n">
        <x:v>4050</x:v>
      </x:c>
      <x:c r="N520" t="n">
        <x:v>3860</x:v>
      </x:c>
      <x:c r="O520" t="n">
        <x:v>3627</x:v>
      </x:c>
      <x:c r="P520" t="n">
        <x:v>233</x:v>
      </x:c>
    </x:row>
    <x:row r="521">
      <x:c r="A521" t="n">
        <x:v>520</x:v>
      </x:c>
      <x:c r="B521" t="str">
        <x:v>2026-09-08</x:v>
      </x:c>
      <x:c r="C521" t="str">
        <x:v>L4</x:v>
      </x:c>
      <x:c r="D521" t="str">
        <x:v>Etiquetado</x:v>
      </x:c>
      <x:c r="E521" t="str">
        <x:v>Vespertino</x:v>
      </x:c>
      <x:c r="F521" t="str">
        <x:v>P002</x:v>
      </x:c>
      <x:c r="G521" t="str">
        <x:v>Producto Beta</x:v>
      </x:c>
      <x:c r="H521" t="n">
        <x:v>480</x:v>
      </x:c>
      <x:c r="I521" t="n">
        <x:v>27</x:v>
      </x:c>
      <x:c r="J521" t="n">
        <x:v>40</x:v>
      </x:c>
      <x:c r="K521" t="n">
        <x:v>413</x:v>
      </x:c>
      <x:c r="L521" t="n">
        <x:v>10</x:v>
      </x:c>
      <x:c r="M521" t="n">
        <x:v>4077</x:v>
      </x:c>
      <x:c r="N521" t="n">
        <x:v>4266</x:v>
      </x:c>
      <x:c r="O521" t="n">
        <x:v>4080</x:v>
      </x:c>
      <x:c r="P521" t="n">
        <x:v>186</x:v>
      </x:c>
    </x:row>
    <x:row r="522">
      <x:c r="A522" t="n">
        <x:v>521</x:v>
      </x:c>
      <x:c r="B522" t="str">
        <x:v>2026-09-09</x:v>
      </x:c>
      <x:c r="C522" t="str">
        <x:v>L1</x:v>
      </x:c>
      <x:c r="D522" t="str">
        <x:v>Envasado A</x:v>
      </x:c>
      <x:c r="E522" t="str">
        <x:v>Matutino</x:v>
      </x:c>
      <x:c r="F522" t="str">
        <x:v>P002</x:v>
      </x:c>
      <x:c r="G522" t="str">
        <x:v>Producto Beta</x:v>
      </x:c>
      <x:c r="H522" t="n">
        <x:v>480</x:v>
      </x:c>
      <x:c r="I522" t="n">
        <x:v>33</x:v>
      </x:c>
      <x:c r="J522" t="n">
        <x:v>6</x:v>
      </x:c>
      <x:c r="K522" t="n">
        <x:v>441</x:v>
      </x:c>
      <x:c r="L522" t="n">
        <x:v>8</x:v>
      </x:c>
      <x:c r="M522" t="n">
        <x:v>3218</x:v>
      </x:c>
      <x:c r="N522" t="n">
        <x:v>3320</x:v>
      </x:c>
      <x:c r="O522" t="n">
        <x:v>3174</x:v>
      </x:c>
      <x:c r="P522" t="n">
        <x:v>146</x:v>
      </x:c>
    </x:row>
    <x:row r="523">
      <x:c r="A523" t="n">
        <x:v>522</x:v>
      </x:c>
      <x:c r="B523" t="str">
        <x:v>2026-09-09</x:v>
      </x:c>
      <x:c r="C523" t="str">
        <x:v>L1</x:v>
      </x:c>
      <x:c r="D523" t="str">
        <x:v>Envasado A</x:v>
      </x:c>
      <x:c r="E523" t="str">
        <x:v>Vespertino</x:v>
      </x:c>
      <x:c r="F523" t="str">
        <x:v>P003</x:v>
      </x:c>
      <x:c r="G523" t="str">
        <x:v>Producto Gamma</x:v>
      </x:c>
      <x:c r="H523" t="n">
        <x:v>480</x:v>
      </x:c>
      <x:c r="I523" t="n">
        <x:v>16</x:v>
      </x:c>
      <x:c r="J523" t="n">
        <x:v>11</x:v>
      </x:c>
      <x:c r="K523" t="n">
        <x:v>453</x:v>
      </x:c>
      <x:c r="L523" t="n">
        <x:v>8</x:v>
      </x:c>
      <x:c r="M523" t="n">
        <x:v>3340</x:v>
      </x:c>
      <x:c r="N523" t="n">
        <x:v>3336</x:v>
      </x:c>
      <x:c r="O523" t="n">
        <x:v>3132</x:v>
      </x:c>
      <x:c r="P523" t="n">
        <x:v>204</x:v>
      </x:c>
    </x:row>
    <x:row r="524">
      <x:c r="A524" t="n">
        <x:v>523</x:v>
      </x:c>
      <x:c r="B524" t="str">
        <x:v>2026-09-09</x:v>
      </x:c>
      <x:c r="C524" t="str">
        <x:v>L2</x:v>
      </x:c>
      <x:c r="D524" t="str">
        <x:v>Envasado B</x:v>
      </x:c>
      <x:c r="E524" t="str">
        <x:v>Matutino</x:v>
      </x:c>
      <x:c r="F524" t="str">
        <x:v>P003</x:v>
      </x:c>
      <x:c r="G524" t="str">
        <x:v>Producto Gamma</x:v>
      </x:c>
      <x:c r="H524" t="n">
        <x:v>480</x:v>
      </x:c>
      <x:c r="I524" t="n">
        <x:v>34</x:v>
      </x:c>
      <x:c r="J524" t="n">
        <x:v>22</x:v>
      </x:c>
      <x:c r="K524" t="n">
        <x:v>424</x:v>
      </x:c>
      <x:c r="L524" t="n">
        <x:v>7.5</x:v>
      </x:c>
      <x:c r="M524" t="n">
        <x:v>3010</x:v>
      </x:c>
      <x:c r="N524" t="n">
        <x:v>2847</x:v>
      </x:c>
      <x:c r="O524" t="n">
        <x:v>2710</x:v>
      </x:c>
      <x:c r="P524" t="n">
        <x:v>137</x:v>
      </x:c>
    </x:row>
    <x:row r="525">
      <x:c r="A525" t="n">
        <x:v>524</x:v>
      </x:c>
      <x:c r="B525" t="str">
        <x:v>2026-09-09</x:v>
      </x:c>
      <x:c r="C525" t="str">
        <x:v>L2</x:v>
      </x:c>
      <x:c r="D525" t="str">
        <x:v>Envasado B</x:v>
      </x:c>
      <x:c r="E525" t="str">
        <x:v>Vespertino</x:v>
      </x:c>
      <x:c r="F525" t="str">
        <x:v>P002</x:v>
      </x:c>
      <x:c r="G525" t="str">
        <x:v>Producto Beta</x:v>
      </x:c>
      <x:c r="H525" t="n">
        <x:v>480</x:v>
      </x:c>
      <x:c r="I525" t="n">
        <x:v>20</x:v>
      </x:c>
      <x:c r="J525" t="n">
        <x:v>0</x:v>
      </x:c>
      <x:c r="K525" t="n">
        <x:v>460</x:v>
      </x:c>
      <x:c r="L525" t="n">
        <x:v>7.5</x:v>
      </x:c>
      <x:c r="M525" t="n">
        <x:v>3105</x:v>
      </x:c>
      <x:c r="N525" t="n">
        <x:v>3111</x:v>
      </x:c>
      <x:c r="O525" t="n">
        <x:v>2915</x:v>
      </x:c>
      <x:c r="P525" t="n">
        <x:v>196</x:v>
      </x:c>
    </x:row>
    <x:row r="526">
      <x:c r="A526" t="n">
        <x:v>525</x:v>
      </x:c>
      <x:c r="B526" t="str">
        <x:v>2026-09-09</x:v>
      </x:c>
      <x:c r="C526" t="str">
        <x:v>L3</x:v>
      </x:c>
      <x:c r="D526" t="str">
        <x:v>Empaque</x:v>
      </x:c>
      <x:c r="E526" t="str">
        <x:v>Matutino</x:v>
      </x:c>
      <x:c r="F526" t="str">
        <x:v>P003</x:v>
      </x:c>
      <x:c r="G526" t="str">
        <x:v>Producto Gamma</x:v>
      </x:c>
      <x:c r="H526" t="n">
        <x:v>480</x:v>
      </x:c>
      <x:c r="I526" t="n">
        <x:v>35</x:v>
      </x:c>
      <x:c r="J526" t="n">
        <x:v>0</x:v>
      </x:c>
      <x:c r="K526" t="n">
        <x:v>445</x:v>
      </x:c>
      <x:c r="L526" t="n">
        <x:v>8.67</x:v>
      </x:c>
      <x:c r="M526" t="n">
        <x:v>3471</x:v>
      </x:c>
      <x:c r="N526" t="n">
        <x:v>3680</x:v>
      </x:c>
      <x:c r="O526" t="n">
        <x:v>3541</x:v>
      </x:c>
      <x:c r="P526" t="n">
        <x:v>139</x:v>
      </x:c>
    </x:row>
    <x:row r="527">
      <x:c r="A527" t="n">
        <x:v>526</x:v>
      </x:c>
      <x:c r="B527" t="str">
        <x:v>2026-09-09</x:v>
      </x:c>
      <x:c r="C527" t="str">
        <x:v>L3</x:v>
      </x:c>
      <x:c r="D527" t="str">
        <x:v>Empaque</x:v>
      </x:c>
      <x:c r="E527" t="str">
        <x:v>Vespertino</x:v>
      </x:c>
      <x:c r="F527" t="str">
        <x:v>P001</x:v>
      </x:c>
      <x:c r="G527" t="str">
        <x:v>Producto Alfa</x:v>
      </x:c>
      <x:c r="H527" t="n">
        <x:v>480</x:v>
      </x:c>
      <x:c r="I527" t="n">
        <x:v>18</x:v>
      </x:c>
      <x:c r="J527" t="n">
        <x:v>23</x:v>
      </x:c>
      <x:c r="K527" t="n">
        <x:v>439</x:v>
      </x:c>
      <x:c r="L527" t="n">
        <x:v>8.67</x:v>
      </x:c>
      <x:c r="M527" t="n">
        <x:v>3603</x:v>
      </x:c>
      <x:c r="N527" t="n">
        <x:v>3451</x:v>
      </x:c>
      <x:c r="O527" t="n">
        <x:v>3362</x:v>
      </x:c>
      <x:c r="P527" t="n">
        <x:v>89</x:v>
      </x:c>
    </x:row>
    <x:row r="528">
      <x:c r="A528" t="n">
        <x:v>527</x:v>
      </x:c>
      <x:c r="B528" t="str">
        <x:v>2026-09-09</x:v>
      </x:c>
      <x:c r="C528" t="str">
        <x:v>L4</x:v>
      </x:c>
      <x:c r="D528" t="str">
        <x:v>Etiquetado</x:v>
      </x:c>
      <x:c r="E528" t="str">
        <x:v>Matutino</x:v>
      </x:c>
      <x:c r="F528" t="str">
        <x:v>P003</x:v>
      </x:c>
      <x:c r="G528" t="str">
        <x:v>Producto Gamma</x:v>
      </x:c>
      <x:c r="H528" t="n">
        <x:v>480</x:v>
      </x:c>
      <x:c r="I528" t="n">
        <x:v>32</x:v>
      </x:c>
      <x:c r="J528" t="n">
        <x:v>2</x:v>
      </x:c>
      <x:c r="K528" t="n">
        <x:v>446</x:v>
      </x:c>
      <x:c r="L528" t="n">
        <x:v>10</x:v>
      </x:c>
      <x:c r="M528" t="n">
        <x:v>4032</x:v>
      </x:c>
      <x:c r="N528" t="n">
        <x:v>3931</x:v>
      </x:c>
      <x:c r="O528" t="n">
        <x:v>3690</x:v>
      </x:c>
      <x:c r="P528" t="n">
        <x:v>241</x:v>
      </x:c>
    </x:row>
    <x:row r="529">
      <x:c r="A529" t="n">
        <x:v>528</x:v>
      </x:c>
      <x:c r="B529" t="str">
        <x:v>2026-09-09</x:v>
      </x:c>
      <x:c r="C529" t="str">
        <x:v>L4</x:v>
      </x:c>
      <x:c r="D529" t="str">
        <x:v>Etiquetado</x:v>
      </x:c>
      <x:c r="E529" t="str">
        <x:v>Vespertino</x:v>
      </x:c>
      <x:c r="F529" t="str">
        <x:v>P003</x:v>
      </x:c>
      <x:c r="G529" t="str">
        <x:v>Producto Gamma</x:v>
      </x:c>
      <x:c r="H529" t="n">
        <x:v>480</x:v>
      </x:c>
      <x:c r="I529" t="n">
        <x:v>33</x:v>
      </x:c>
      <x:c r="J529" t="n">
        <x:v>35</x:v>
      </x:c>
      <x:c r="K529" t="n">
        <x:v>412</x:v>
      </x:c>
      <x:c r="L529" t="n">
        <x:v>10</x:v>
      </x:c>
      <x:c r="M529" t="n">
        <x:v>4023</x:v>
      </x:c>
      <x:c r="N529" t="n">
        <x:v>3710</x:v>
      </x:c>
      <x:c r="O529" t="n">
        <x:v>3500</x:v>
      </x:c>
      <x:c r="P529" t="n">
        <x:v>210</x:v>
      </x:c>
    </x:row>
    <x:row r="530">
      <x:c r="A530" t="n">
        <x:v>529</x:v>
      </x:c>
      <x:c r="B530" t="str">
        <x:v>2026-09-10</x:v>
      </x:c>
      <x:c r="C530" t="str">
        <x:v>L1</x:v>
      </x:c>
      <x:c r="D530" t="str">
        <x:v>Envasado A</x:v>
      </x:c>
      <x:c r="E530" t="str">
        <x:v>Matutino</x:v>
      </x:c>
      <x:c r="F530" t="str">
        <x:v>P001</x:v>
      </x:c>
      <x:c r="G530" t="str">
        <x:v>Producto Alfa</x:v>
      </x:c>
      <x:c r="H530" t="n">
        <x:v>480</x:v>
      </x:c>
      <x:c r="I530" t="n">
        <x:v>30</x:v>
      </x:c>
      <x:c r="J530" t="n">
        <x:v>46</x:v>
      </x:c>
      <x:c r="K530" t="n">
        <x:v>404</x:v>
      </x:c>
      <x:c r="L530" t="n">
        <x:v>8</x:v>
      </x:c>
      <x:c r="M530" t="n">
        <x:v>3240</x:v>
      </x:c>
      <x:c r="N530" t="n">
        <x:v>3033</x:v>
      </x:c>
      <x:c r="O530" t="n">
        <x:v>2929</x:v>
      </x:c>
      <x:c r="P530" t="n">
        <x:v>104</x:v>
      </x:c>
    </x:row>
    <x:row r="531">
      <x:c r="A531" t="n">
        <x:v>530</x:v>
      </x:c>
      <x:c r="B531" t="str">
        <x:v>2026-09-10</x:v>
      </x:c>
      <x:c r="C531" t="str">
        <x:v>L1</x:v>
      </x:c>
      <x:c r="D531" t="str">
        <x:v>Envasado A</x:v>
      </x:c>
      <x:c r="E531" t="str">
        <x:v>Vespertino</x:v>
      </x:c>
      <x:c r="F531" t="str">
        <x:v>P003</x:v>
      </x:c>
      <x:c r="G531" t="str">
        <x:v>Producto Gamma</x:v>
      </x:c>
      <x:c r="H531" t="n">
        <x:v>480</x:v>
      </x:c>
      <x:c r="I531" t="n">
        <x:v>19</x:v>
      </x:c>
      <x:c r="J531" t="n">
        <x:v>25</x:v>
      </x:c>
      <x:c r="K531" t="n">
        <x:v>436</x:v>
      </x:c>
      <x:c r="L531" t="n">
        <x:v>8</x:v>
      </x:c>
      <x:c r="M531" t="n">
        <x:v>3319</x:v>
      </x:c>
      <x:c r="N531" t="n">
        <x:v>3090</x:v>
      </x:c>
      <x:c r="O531" t="n">
        <x:v>2963</x:v>
      </x:c>
      <x:c r="P531" t="n">
        <x:v>127</x:v>
      </x:c>
    </x:row>
    <x:row r="532">
      <x:c r="A532" t="n">
        <x:v>531</x:v>
      </x:c>
      <x:c r="B532" t="str">
        <x:v>2026-09-10</x:v>
      </x:c>
      <x:c r="C532" t="str">
        <x:v>L2</x:v>
      </x:c>
      <x:c r="D532" t="str">
        <x:v>Envasado B</x:v>
      </x:c>
      <x:c r="E532" t="str">
        <x:v>Matutino</x:v>
      </x:c>
      <x:c r="F532" t="str">
        <x:v>P001</x:v>
      </x:c>
      <x:c r="G532" t="str">
        <x:v>Producto Alfa</x:v>
      </x:c>
      <x:c r="H532" t="n">
        <x:v>480</x:v>
      </x:c>
      <x:c r="I532" t="n">
        <x:v>31</x:v>
      </x:c>
      <x:c r="J532" t="n">
        <x:v>3</x:v>
      </x:c>
      <x:c r="K532" t="n">
        <x:v>446</x:v>
      </x:c>
      <x:c r="L532" t="n">
        <x:v>7.5</x:v>
      </x:c>
      <x:c r="M532" t="n">
        <x:v>3030</x:v>
      </x:c>
      <x:c r="N532" t="n">
        <x:v>3062</x:v>
      </x:c>
      <x:c r="O532" t="n">
        <x:v>2886</x:v>
      </x:c>
      <x:c r="P532" t="n">
        <x:v>176</x:v>
      </x:c>
    </x:row>
    <x:row r="533">
      <x:c r="A533" t="n">
        <x:v>532</x:v>
      </x:c>
      <x:c r="B533" t="str">
        <x:v>2026-09-10</x:v>
      </x:c>
      <x:c r="C533" t="str">
        <x:v>L2</x:v>
      </x:c>
      <x:c r="D533" t="str">
        <x:v>Envasado B</x:v>
      </x:c>
      <x:c r="E533" t="str">
        <x:v>Vespertino</x:v>
      </x:c>
      <x:c r="F533" t="str">
        <x:v>P002</x:v>
      </x:c>
      <x:c r="G533" t="str">
        <x:v>Producto Beta</x:v>
      </x:c>
      <x:c r="H533" t="n">
        <x:v>480</x:v>
      </x:c>
      <x:c r="I533" t="n">
        <x:v>17</x:v>
      </x:c>
      <x:c r="J533" t="n">
        <x:v>40</x:v>
      </x:c>
      <x:c r="K533" t="n">
        <x:v>423</x:v>
      </x:c>
      <x:c r="L533" t="n">
        <x:v>7.5</x:v>
      </x:c>
      <x:c r="M533" t="n">
        <x:v>3125</x:v>
      </x:c>
      <x:c r="N533" t="n">
        <x:v>2806</x:v>
      </x:c>
      <x:c r="O533" t="n">
        <x:v>2695</x:v>
      </x:c>
      <x:c r="P533" t="n">
        <x:v>111</x:v>
      </x:c>
    </x:row>
    <x:row r="534">
      <x:c r="A534" t="n">
        <x:v>533</x:v>
      </x:c>
      <x:c r="B534" t="str">
        <x:v>2026-09-10</x:v>
      </x:c>
      <x:c r="C534" t="str">
        <x:v>L3</x:v>
      </x:c>
      <x:c r="D534" t="str">
        <x:v>Empaque</x:v>
      </x:c>
      <x:c r="E534" t="str">
        <x:v>Matutino</x:v>
      </x:c>
      <x:c r="F534" t="str">
        <x:v>P001</x:v>
      </x:c>
      <x:c r="G534" t="str">
        <x:v>Producto Alfa</x:v>
      </x:c>
      <x:c r="H534" t="n">
        <x:v>480</x:v>
      </x:c>
      <x:c r="I534" t="n">
        <x:v>15</x:v>
      </x:c>
      <x:c r="J534" t="n">
        <x:v>46</x:v>
      </x:c>
      <x:c r="K534" t="n">
        <x:v>419</x:v>
      </x:c>
      <x:c r="L534" t="n">
        <x:v>8.67</x:v>
      </x:c>
      <x:c r="M534" t="n">
        <x:v>3626</x:v>
      </x:c>
      <x:c r="N534" t="n">
        <x:v>3112</x:v>
      </x:c>
      <x:c r="O534" t="n">
        <x:v>2977</x:v>
      </x:c>
      <x:c r="P534" t="n">
        <x:v>135</x:v>
      </x:c>
    </x:row>
    <x:row r="535">
      <x:c r="A535" t="n">
        <x:v>534</x:v>
      </x:c>
      <x:c r="B535" t="str">
        <x:v>2026-09-10</x:v>
      </x:c>
      <x:c r="C535" t="str">
        <x:v>L3</x:v>
      </x:c>
      <x:c r="D535" t="str">
        <x:v>Empaque</x:v>
      </x:c>
      <x:c r="E535" t="str">
        <x:v>Vespertino</x:v>
      </x:c>
      <x:c r="F535" t="str">
        <x:v>P003</x:v>
      </x:c>
      <x:c r="G535" t="str">
        <x:v>Producto Gamma</x:v>
      </x:c>
      <x:c r="H535" t="n">
        <x:v>480</x:v>
      </x:c>
      <x:c r="I535" t="n">
        <x:v>22</x:v>
      </x:c>
      <x:c r="J535" t="n">
        <x:v>16</x:v>
      </x:c>
      <x:c r="K535" t="n">
        <x:v>442</x:v>
      </x:c>
      <x:c r="L535" t="n">
        <x:v>8.67</x:v>
      </x:c>
      <x:c r="M535" t="n">
        <x:v>3572</x:v>
      </x:c>
      <x:c r="N535" t="n">
        <x:v>3268</x:v>
      </x:c>
      <x:c r="O535" t="n">
        <x:v>3099</x:v>
      </x:c>
      <x:c r="P535" t="n">
        <x:v>169</x:v>
      </x:c>
    </x:row>
    <x:row r="536">
      <x:c r="A536" t="n">
        <x:v>535</x:v>
      </x:c>
      <x:c r="B536" t="str">
        <x:v>2026-09-10</x:v>
      </x:c>
      <x:c r="C536" t="str">
        <x:v>L4</x:v>
      </x:c>
      <x:c r="D536" t="str">
        <x:v>Etiquetado</x:v>
      </x:c>
      <x:c r="E536" t="str">
        <x:v>Matutino</x:v>
      </x:c>
      <x:c r="F536" t="str">
        <x:v>P002</x:v>
      </x:c>
      <x:c r="G536" t="str">
        <x:v>Producto Beta</x:v>
      </x:c>
      <x:c r="H536" t="n">
        <x:v>480</x:v>
      </x:c>
      <x:c r="I536" t="n">
        <x:v>32</x:v>
      </x:c>
      <x:c r="J536" t="n">
        <x:v>6</x:v>
      </x:c>
      <x:c r="K536" t="n">
        <x:v>442</x:v>
      </x:c>
      <x:c r="L536" t="n">
        <x:v>10</x:v>
      </x:c>
      <x:c r="M536" t="n">
        <x:v>4032</x:v>
      </x:c>
      <x:c r="N536" t="n">
        <x:v>4121</x:v>
      </x:c>
      <x:c r="O536" t="n">
        <x:v>3894</x:v>
      </x:c>
      <x:c r="P536" t="n">
        <x:v>227</x:v>
      </x:c>
    </x:row>
    <x:row r="537">
      <x:c r="A537" t="n">
        <x:v>536</x:v>
      </x:c>
      <x:c r="B537" t="str">
        <x:v>2026-09-10</x:v>
      </x:c>
      <x:c r="C537" t="str">
        <x:v>L4</x:v>
      </x:c>
      <x:c r="D537" t="str">
        <x:v>Etiquetado</x:v>
      </x:c>
      <x:c r="E537" t="str">
        <x:v>Vespertino</x:v>
      </x:c>
      <x:c r="F537" t="str">
        <x:v>P001</x:v>
      </x:c>
      <x:c r="G537" t="str">
        <x:v>Producto Alfa</x:v>
      </x:c>
      <x:c r="H537" t="n">
        <x:v>480</x:v>
      </x:c>
      <x:c r="I537" t="n">
        <x:v>35</x:v>
      </x:c>
      <x:c r="J537" t="n">
        <x:v>0</x:v>
      </x:c>
      <x:c r="K537" t="n">
        <x:v>445</x:v>
      </x:c>
      <x:c r="L537" t="n">
        <x:v>10</x:v>
      </x:c>
      <x:c r="M537" t="n">
        <x:v>4005</x:v>
      </x:c>
      <x:c r="N537" t="n">
        <x:v>3938</x:v>
      </x:c>
      <x:c r="O537" t="n">
        <x:v>3740</x:v>
      </x:c>
      <x:c r="P537" t="n">
        <x:v>198</x:v>
      </x:c>
    </x:row>
    <x:row r="538">
      <x:c r="A538" t="n">
        <x:v>537</x:v>
      </x:c>
      <x:c r="B538" t="str">
        <x:v>2026-09-11</x:v>
      </x:c>
      <x:c r="C538" t="str">
        <x:v>L1</x:v>
      </x:c>
      <x:c r="D538" t="str">
        <x:v>Envasado A</x:v>
      </x:c>
      <x:c r="E538" t="str">
        <x:v>Matutino</x:v>
      </x:c>
      <x:c r="F538" t="str">
        <x:v>P003</x:v>
      </x:c>
      <x:c r="G538" t="str">
        <x:v>Producto Gamma</x:v>
      </x:c>
      <x:c r="H538" t="n">
        <x:v>480</x:v>
      </x:c>
      <x:c r="I538" t="n">
        <x:v>34</x:v>
      </x:c>
      <x:c r="J538" t="n">
        <x:v>45</x:v>
      </x:c>
      <x:c r="K538" t="n">
        <x:v>401</x:v>
      </x:c>
      <x:c r="L538" t="n">
        <x:v>8</x:v>
      </x:c>
      <x:c r="M538" t="n">
        <x:v>3211</x:v>
      </x:c>
      <x:c r="N538" t="n">
        <x:v>2813</x:v>
      </x:c>
      <x:c r="O538" t="n">
        <x:v>2669</x:v>
      </x:c>
      <x:c r="P538" t="n">
        <x:v>144</x:v>
      </x:c>
    </x:row>
    <x:row r="539">
      <x:c r="A539" t="n">
        <x:v>538</x:v>
      </x:c>
      <x:c r="B539" t="str">
        <x:v>2026-09-11</x:v>
      </x:c>
      <x:c r="C539" t="str">
        <x:v>L1</x:v>
      </x:c>
      <x:c r="D539" t="str">
        <x:v>Envasado A</x:v>
      </x:c>
      <x:c r="E539" t="str">
        <x:v>Vespertino</x:v>
      </x:c>
      <x:c r="F539" t="str">
        <x:v>P001</x:v>
      </x:c>
      <x:c r="G539" t="str">
        <x:v>Producto Alfa</x:v>
      </x:c>
      <x:c r="H539" t="n">
        <x:v>480</x:v>
      </x:c>
      <x:c r="I539" t="n">
        <x:v>21</x:v>
      </x:c>
      <x:c r="J539" t="n">
        <x:v>28</x:v>
      </x:c>
      <x:c r="K539" t="n">
        <x:v>431</x:v>
      </x:c>
      <x:c r="L539" t="n">
        <x:v>8</x:v>
      </x:c>
      <x:c r="M539" t="n">
        <x:v>3304</x:v>
      </x:c>
      <x:c r="N539" t="n">
        <x:v>3094</x:v>
      </x:c>
      <x:c r="O539" t="n">
        <x:v>3027</x:v>
      </x:c>
      <x:c r="P539" t="n">
        <x:v>67</x:v>
      </x:c>
    </x:row>
    <x:row r="540">
      <x:c r="A540" t="n">
        <x:v>539</x:v>
      </x:c>
      <x:c r="B540" t="str">
        <x:v>2026-09-11</x:v>
      </x:c>
      <x:c r="C540" t="str">
        <x:v>L2</x:v>
      </x:c>
      <x:c r="D540" t="str">
        <x:v>Envasado B</x:v>
      </x:c>
      <x:c r="E540" t="str">
        <x:v>Matutino</x:v>
      </x:c>
      <x:c r="F540" t="str">
        <x:v>P001</x:v>
      </x:c>
      <x:c r="G540" t="str">
        <x:v>Producto Alfa</x:v>
      </x:c>
      <x:c r="H540" t="n">
        <x:v>480</x:v>
      </x:c>
      <x:c r="I540" t="n">
        <x:v>33</x:v>
      </x:c>
      <x:c r="J540" t="n">
        <x:v>63</x:v>
      </x:c>
      <x:c r="K540" t="n">
        <x:v>384</x:v>
      </x:c>
      <x:c r="L540" t="n">
        <x:v>7.5</x:v>
      </x:c>
      <x:c r="M540" t="n">
        <x:v>3017</x:v>
      </x:c>
      <x:c r="N540" t="n">
        <x:v>2777</x:v>
      </x:c>
      <x:c r="O540" t="n">
        <x:v>2677</x:v>
      </x:c>
      <x:c r="P540" t="n">
        <x:v>100</x:v>
      </x:c>
    </x:row>
    <x:row r="541">
      <x:c r="A541" t="n">
        <x:v>540</x:v>
      </x:c>
      <x:c r="B541" t="str">
        <x:v>2026-09-11</x:v>
      </x:c>
      <x:c r="C541" t="str">
        <x:v>L2</x:v>
      </x:c>
      <x:c r="D541" t="str">
        <x:v>Envasado B</x:v>
      </x:c>
      <x:c r="E541" t="str">
        <x:v>Vespertino</x:v>
      </x:c>
      <x:c r="F541" t="str">
        <x:v>P002</x:v>
      </x:c>
      <x:c r="G541" t="str">
        <x:v>Producto Beta</x:v>
      </x:c>
      <x:c r="H541" t="n">
        <x:v>480</x:v>
      </x:c>
      <x:c r="I541" t="n">
        <x:v>18</x:v>
      </x:c>
      <x:c r="J541" t="n">
        <x:v>46</x:v>
      </x:c>
      <x:c r="K541" t="n">
        <x:v>416</x:v>
      </x:c>
      <x:c r="L541" t="n">
        <x:v>7.5</x:v>
      </x:c>
      <x:c r="M541" t="n">
        <x:v>3118</x:v>
      </x:c>
      <x:c r="N541" t="n">
        <x:v>2817</x:v>
      </x:c>
      <x:c r="O541" t="n">
        <x:v>2715</x:v>
      </x:c>
      <x:c r="P541" t="n">
        <x:v>102</x:v>
      </x:c>
    </x:row>
    <x:row r="542">
      <x:c r="A542" t="n">
        <x:v>541</x:v>
      </x:c>
      <x:c r="B542" t="str">
        <x:v>2026-09-11</x:v>
      </x:c>
      <x:c r="C542" t="str">
        <x:v>L3</x:v>
      </x:c>
      <x:c r="D542" t="str">
        <x:v>Empaque</x:v>
      </x:c>
      <x:c r="E542" t="str">
        <x:v>Matutino</x:v>
      </x:c>
      <x:c r="F542" t="str">
        <x:v>P003</x:v>
      </x:c>
      <x:c r="G542" t="str">
        <x:v>Producto Gamma</x:v>
      </x:c>
      <x:c r="H542" t="n">
        <x:v>480</x:v>
      </x:c>
      <x:c r="I542" t="n">
        <x:v>35</x:v>
      </x:c>
      <x:c r="J542" t="n">
        <x:v>19</x:v>
      </x:c>
      <x:c r="K542" t="n">
        <x:v>426</x:v>
      </x:c>
      <x:c r="L542" t="n">
        <x:v>8.67</x:v>
      </x:c>
      <x:c r="M542" t="n">
        <x:v>3471</x:v>
      </x:c>
      <x:c r="N542" t="n">
        <x:v>3511</x:v>
      </x:c>
      <x:c r="O542" t="n">
        <x:v>3319</x:v>
      </x:c>
      <x:c r="P542" t="n">
        <x:v>192</x:v>
      </x:c>
    </x:row>
    <x:row r="543">
      <x:c r="A543" t="n">
        <x:v>542</x:v>
      </x:c>
      <x:c r="B543" t="str">
        <x:v>2026-09-11</x:v>
      </x:c>
      <x:c r="C543" t="str">
        <x:v>L3</x:v>
      </x:c>
      <x:c r="D543" t="str">
        <x:v>Empaque</x:v>
      </x:c>
      <x:c r="E543" t="str">
        <x:v>Vespertino</x:v>
      </x:c>
      <x:c r="F543" t="str">
        <x:v>P002</x:v>
      </x:c>
      <x:c r="G543" t="str">
        <x:v>Producto Beta</x:v>
      </x:c>
      <x:c r="H543" t="n">
        <x:v>480</x:v>
      </x:c>
      <x:c r="I543" t="n">
        <x:v>29</x:v>
      </x:c>
      <x:c r="J543" t="n">
        <x:v>34</x:v>
      </x:c>
      <x:c r="K543" t="n">
        <x:v>417</x:v>
      </x:c>
      <x:c r="L543" t="n">
        <x:v>8.67</x:v>
      </x:c>
      <x:c r="M543" t="n">
        <x:v>3517</x:v>
      </x:c>
      <x:c r="N543" t="n">
        <x:v>3068</x:v>
      </x:c>
      <x:c r="O543" t="n">
        <x:v>2838</x:v>
      </x:c>
      <x:c r="P543" t="n">
        <x:v>230</x:v>
      </x:c>
    </x:row>
    <x:row r="544">
      <x:c r="A544" t="n">
        <x:v>543</x:v>
      </x:c>
      <x:c r="B544" t="str">
        <x:v>2026-09-11</x:v>
      </x:c>
      <x:c r="C544" t="str">
        <x:v>L4</x:v>
      </x:c>
      <x:c r="D544" t="str">
        <x:v>Etiquetado</x:v>
      </x:c>
      <x:c r="E544" t="str">
        <x:v>Matutino</x:v>
      </x:c>
      <x:c r="F544" t="str">
        <x:v>P003</x:v>
      </x:c>
      <x:c r="G544" t="str">
        <x:v>Producto Gamma</x:v>
      </x:c>
      <x:c r="H544" t="n">
        <x:v>480</x:v>
      </x:c>
      <x:c r="I544" t="n">
        <x:v>24</x:v>
      </x:c>
      <x:c r="J544" t="n">
        <x:v>53</x:v>
      </x:c>
      <x:c r="K544" t="n">
        <x:v>403</x:v>
      </x:c>
      <x:c r="L544" t="n">
        <x:v>10</x:v>
      </x:c>
      <x:c r="M544" t="n">
        <x:v>4104</x:v>
      </x:c>
      <x:c r="N544" t="n">
        <x:v>3548</x:v>
      </x:c>
      <x:c r="O544" t="n">
        <x:v>3353</x:v>
      </x:c>
      <x:c r="P544" t="n">
        <x:v>195</x:v>
      </x:c>
    </x:row>
    <x:row r="545">
      <x:c r="A545" t="n">
        <x:v>544</x:v>
      </x:c>
      <x:c r="B545" t="str">
        <x:v>2026-09-11</x:v>
      </x:c>
      <x:c r="C545" t="str">
        <x:v>L4</x:v>
      </x:c>
      <x:c r="D545" t="str">
        <x:v>Etiquetado</x:v>
      </x:c>
      <x:c r="E545" t="str">
        <x:v>Vespertino</x:v>
      </x:c>
      <x:c r="F545" t="str">
        <x:v>P001</x:v>
      </x:c>
      <x:c r="G545" t="str">
        <x:v>Producto Alfa</x:v>
      </x:c>
      <x:c r="H545" t="n">
        <x:v>480</x:v>
      </x:c>
      <x:c r="I545" t="n">
        <x:v>24</x:v>
      </x:c>
      <x:c r="J545" t="n">
        <x:v>11</x:v>
      </x:c>
      <x:c r="K545" t="n">
        <x:v>445</x:v>
      </x:c>
      <x:c r="L545" t="n">
        <x:v>10</x:v>
      </x:c>
      <x:c r="M545" t="n">
        <x:v>4104</x:v>
      </x:c>
      <x:c r="N545" t="n">
        <x:v>4193</x:v>
      </x:c>
      <x:c r="O545" t="n">
        <x:v>4057</x:v>
      </x:c>
      <x:c r="P545" t="n">
        <x:v>136</x:v>
      </x:c>
    </x:row>
    <x:row r="546">
      <x:c r="A546" t="n">
        <x:v>545</x:v>
      </x:c>
      <x:c r="B546" t="str">
        <x:v>2026-09-12</x:v>
      </x:c>
      <x:c r="C546" t="str">
        <x:v>L1</x:v>
      </x:c>
      <x:c r="D546" t="str">
        <x:v>Envasado A</x:v>
      </x:c>
      <x:c r="E546" t="str">
        <x:v>Matutino</x:v>
      </x:c>
      <x:c r="F546" t="str">
        <x:v>P001</x:v>
      </x:c>
      <x:c r="G546" t="str">
        <x:v>Producto Alfa</x:v>
      </x:c>
      <x:c r="H546" t="n">
        <x:v>480</x:v>
      </x:c>
      <x:c r="I546" t="n">
        <x:v>31</x:v>
      </x:c>
      <x:c r="J546" t="n">
        <x:v>5</x:v>
      </x:c>
      <x:c r="K546" t="n">
        <x:v>444</x:v>
      </x:c>
      <x:c r="L546" t="n">
        <x:v>8</x:v>
      </x:c>
      <x:c r="M546" t="n">
        <x:v>3232</x:v>
      </x:c>
      <x:c r="N546" t="n">
        <x:v>3371</x:v>
      </x:c>
      <x:c r="O546" t="n">
        <x:v>3198</x:v>
      </x:c>
      <x:c r="P546" t="n">
        <x:v>173</x:v>
      </x:c>
    </x:row>
    <x:row r="547">
      <x:c r="A547" t="n">
        <x:v>546</x:v>
      </x:c>
      <x:c r="B547" t="str">
        <x:v>2026-09-12</x:v>
      </x:c>
      <x:c r="C547" t="str">
        <x:v>L1</x:v>
      </x:c>
      <x:c r="D547" t="str">
        <x:v>Envasado A</x:v>
      </x:c>
      <x:c r="E547" t="str">
        <x:v>Vespertino</x:v>
      </x:c>
      <x:c r="F547" t="str">
        <x:v>P002</x:v>
      </x:c>
      <x:c r="G547" t="str">
        <x:v>Producto Beta</x:v>
      </x:c>
      <x:c r="H547" t="n">
        <x:v>480</x:v>
      </x:c>
      <x:c r="I547" t="n">
        <x:v>35</x:v>
      </x:c>
      <x:c r="J547" t="n">
        <x:v>17</x:v>
      </x:c>
      <x:c r="K547" t="n">
        <x:v>428</x:v>
      </x:c>
      <x:c r="L547" t="n">
        <x:v>8</x:v>
      </x:c>
      <x:c r="M547" t="n">
        <x:v>3204</x:v>
      </x:c>
      <x:c r="N547" t="n">
        <x:v>2779</x:v>
      </x:c>
      <x:c r="O547" t="n">
        <x:v>2594</x:v>
      </x:c>
      <x:c r="P547" t="n">
        <x:v>185</x:v>
      </x:c>
    </x:row>
    <x:row r="548">
      <x:c r="A548" t="n">
        <x:v>547</x:v>
      </x:c>
      <x:c r="B548" t="str">
        <x:v>2026-09-12</x:v>
      </x:c>
      <x:c r="C548" t="str">
        <x:v>L2</x:v>
      </x:c>
      <x:c r="D548" t="str">
        <x:v>Envasado B</x:v>
      </x:c>
      <x:c r="E548" t="str">
        <x:v>Matutino</x:v>
      </x:c>
      <x:c r="F548" t="str">
        <x:v>P001</x:v>
      </x:c>
      <x:c r="G548" t="str">
        <x:v>Producto Alfa</x:v>
      </x:c>
      <x:c r="H548" t="n">
        <x:v>480</x:v>
      </x:c>
      <x:c r="I548" t="n">
        <x:v>32</x:v>
      </x:c>
      <x:c r="J548" t="n">
        <x:v>37</x:v>
      </x:c>
      <x:c r="K548" t="n">
        <x:v>411</x:v>
      </x:c>
      <x:c r="L548" t="n">
        <x:v>7.5</x:v>
      </x:c>
      <x:c r="M548" t="n">
        <x:v>3024</x:v>
      </x:c>
      <x:c r="N548" t="n">
        <x:v>2904</x:v>
      </x:c>
      <x:c r="O548" t="n">
        <x:v>2813</x:v>
      </x:c>
      <x:c r="P548" t="n">
        <x:v>91</x:v>
      </x:c>
    </x:row>
    <x:row r="549">
      <x:c r="A549" t="n">
        <x:v>548</x:v>
      </x:c>
      <x:c r="B549" t="str">
        <x:v>2026-09-12</x:v>
      </x:c>
      <x:c r="C549" t="str">
        <x:v>L2</x:v>
      </x:c>
      <x:c r="D549" t="str">
        <x:v>Envasado B</x:v>
      </x:c>
      <x:c r="E549" t="str">
        <x:v>Vespertino</x:v>
      </x:c>
      <x:c r="F549" t="str">
        <x:v>P003</x:v>
      </x:c>
      <x:c r="G549" t="str">
        <x:v>Producto Gamma</x:v>
      </x:c>
      <x:c r="H549" t="n">
        <x:v>480</x:v>
      </x:c>
      <x:c r="I549" t="n">
        <x:v>16</x:v>
      </x:c>
      <x:c r="J549" t="n">
        <x:v>67</x:v>
      </x:c>
      <x:c r="K549" t="n">
        <x:v>397</x:v>
      </x:c>
      <x:c r="L549" t="n">
        <x:v>7.5</x:v>
      </x:c>
      <x:c r="M549" t="n">
        <x:v>3132</x:v>
      </x:c>
      <x:c r="N549" t="n">
        <x:v>2928</x:v>
      </x:c>
      <x:c r="O549" t="n">
        <x:v>2716</x:v>
      </x:c>
      <x:c r="P549" t="n">
        <x:v>212</x:v>
      </x:c>
    </x:row>
    <x:row r="550">
      <x:c r="A550" t="n">
        <x:v>549</x:v>
      </x:c>
      <x:c r="B550" t="str">
        <x:v>2026-09-12</x:v>
      </x:c>
      <x:c r="C550" t="str">
        <x:v>L3</x:v>
      </x:c>
      <x:c r="D550" t="str">
        <x:v>Empaque</x:v>
      </x:c>
      <x:c r="E550" t="str">
        <x:v>Matutino</x:v>
      </x:c>
      <x:c r="F550" t="str">
        <x:v>P002</x:v>
      </x:c>
      <x:c r="G550" t="str">
        <x:v>Producto Beta</x:v>
      </x:c>
      <x:c r="H550" t="n">
        <x:v>480</x:v>
      </x:c>
      <x:c r="I550" t="n">
        <x:v>19</x:v>
      </x:c>
      <x:c r="J550" t="n">
        <x:v>35</x:v>
      </x:c>
      <x:c r="K550" t="n">
        <x:v>426</x:v>
      </x:c>
      <x:c r="L550" t="n">
        <x:v>8.67</x:v>
      </x:c>
      <x:c r="M550" t="n">
        <x:v>3595</x:v>
      </x:c>
      <x:c r="N550" t="n">
        <x:v>3513</x:v>
      </x:c>
      <x:c r="O550" t="n">
        <x:v>3245</x:v>
      </x:c>
      <x:c r="P550" t="n">
        <x:v>268</x:v>
      </x:c>
    </x:row>
    <x:row r="551">
      <x:c r="A551" t="n">
        <x:v>550</x:v>
      </x:c>
      <x:c r="B551" t="str">
        <x:v>2026-09-12</x:v>
      </x:c>
      <x:c r="C551" t="str">
        <x:v>L3</x:v>
      </x:c>
      <x:c r="D551" t="str">
        <x:v>Empaque</x:v>
      </x:c>
      <x:c r="E551" t="str">
        <x:v>Vespertino</x:v>
      </x:c>
      <x:c r="F551" t="str">
        <x:v>P002</x:v>
      </x:c>
      <x:c r="G551" t="str">
        <x:v>Producto Beta</x:v>
      </x:c>
      <x:c r="H551" t="n">
        <x:v>480</x:v>
      </x:c>
      <x:c r="I551" t="n">
        <x:v>30</x:v>
      </x:c>
      <x:c r="J551" t="n">
        <x:v>15</x:v>
      </x:c>
      <x:c r="K551" t="n">
        <x:v>435</x:v>
      </x:c>
      <x:c r="L551" t="n">
        <x:v>8.67</x:v>
      </x:c>
      <x:c r="M551" t="n">
        <x:v>3509</x:v>
      </x:c>
      <x:c r="N551" t="n">
        <x:v>3150</x:v>
      </x:c>
      <x:c r="O551" t="n">
        <x:v>2997</x:v>
      </x:c>
      <x:c r="P551" t="n">
        <x:v>153</x:v>
      </x:c>
    </x:row>
    <x:row r="552">
      <x:c r="A552" t="n">
        <x:v>551</x:v>
      </x:c>
      <x:c r="B552" t="str">
        <x:v>2026-09-12</x:v>
      </x:c>
      <x:c r="C552" t="str">
        <x:v>L4</x:v>
      </x:c>
      <x:c r="D552" t="str">
        <x:v>Etiquetado</x:v>
      </x:c>
      <x:c r="E552" t="str">
        <x:v>Matutino</x:v>
      </x:c>
      <x:c r="F552" t="str">
        <x:v>P002</x:v>
      </x:c>
      <x:c r="G552" t="str">
        <x:v>Producto Beta</x:v>
      </x:c>
      <x:c r="H552" t="n">
        <x:v>480</x:v>
      </x:c>
      <x:c r="I552" t="n">
        <x:v>20</x:v>
      </x:c>
      <x:c r="J552" t="n">
        <x:v>32</x:v>
      </x:c>
      <x:c r="K552" t="n">
        <x:v>428</x:v>
      </x:c>
      <x:c r="L552" t="n">
        <x:v>10</x:v>
      </x:c>
      <x:c r="M552" t="n">
        <x:v>4140</x:v>
      </x:c>
      <x:c r="N552" t="n">
        <x:v>3918</x:v>
      </x:c>
      <x:c r="O552" t="n">
        <x:v>3685</x:v>
      </x:c>
      <x:c r="P552" t="n">
        <x:v>233</x:v>
      </x:c>
    </x:row>
    <x:row r="553">
      <x:c r="A553" t="n">
        <x:v>552</x:v>
      </x:c>
      <x:c r="B553" t="str">
        <x:v>2026-09-12</x:v>
      </x:c>
      <x:c r="C553" t="str">
        <x:v>L4</x:v>
      </x:c>
      <x:c r="D553" t="str">
        <x:v>Etiquetado</x:v>
      </x:c>
      <x:c r="E553" t="str">
        <x:v>Vespertino</x:v>
      </x:c>
      <x:c r="F553" t="str">
        <x:v>P002</x:v>
      </x:c>
      <x:c r="G553" t="str">
        <x:v>Producto Beta</x:v>
      </x:c>
      <x:c r="H553" t="n">
        <x:v>480</x:v>
      </x:c>
      <x:c r="I553" t="n">
        <x:v>22</x:v>
      </x:c>
      <x:c r="J553" t="n">
        <x:v>9</x:v>
      </x:c>
      <x:c r="K553" t="n">
        <x:v>449</x:v>
      </x:c>
      <x:c r="L553" t="n">
        <x:v>10</x:v>
      </x:c>
      <x:c r="M553" t="n">
        <x:v>4122</x:v>
      </x:c>
      <x:c r="N553" t="n">
        <x:v>3966</x:v>
      </x:c>
      <x:c r="O553" t="n">
        <x:v>3721</x:v>
      </x:c>
      <x:c r="P553" t="n">
        <x:v>245</x:v>
      </x:c>
    </x:row>
    <x:row r="554">
      <x:c r="A554" t="n">
        <x:v>553</x:v>
      </x:c>
      <x:c r="B554" t="str">
        <x:v>2026-09-13</x:v>
      </x:c>
      <x:c r="C554" t="str">
        <x:v>L1</x:v>
      </x:c>
      <x:c r="D554" t="str">
        <x:v>Envasado A</x:v>
      </x:c>
      <x:c r="E554" t="str">
        <x:v>Matutino</x:v>
      </x:c>
      <x:c r="F554" t="str">
        <x:v>P002</x:v>
      </x:c>
      <x:c r="G554" t="str">
        <x:v>Producto Beta</x:v>
      </x:c>
      <x:c r="H554" t="n">
        <x:v>480</x:v>
      </x:c>
      <x:c r="I554" t="n">
        <x:v>33</x:v>
      </x:c>
      <x:c r="J554" t="n">
        <x:v>26</x:v>
      </x:c>
      <x:c r="K554" t="n">
        <x:v>421</x:v>
      </x:c>
      <x:c r="L554" t="n">
        <x:v>8</x:v>
      </x:c>
      <x:c r="M554" t="n">
        <x:v>3218</x:v>
      </x:c>
      <x:c r="N554" t="n">
        <x:v>2806</x:v>
      </x:c>
      <x:c r="O554" t="n">
        <x:v>2621</x:v>
      </x:c>
      <x:c r="P554" t="n">
        <x:v>185</x:v>
      </x:c>
    </x:row>
    <x:row r="555">
      <x:c r="A555" t="n">
        <x:v>554</x:v>
      </x:c>
      <x:c r="B555" t="str">
        <x:v>2026-09-13</x:v>
      </x:c>
      <x:c r="C555" t="str">
        <x:v>L1</x:v>
      </x:c>
      <x:c r="D555" t="str">
        <x:v>Envasado A</x:v>
      </x:c>
      <x:c r="E555" t="str">
        <x:v>Vespertino</x:v>
      </x:c>
      <x:c r="F555" t="str">
        <x:v>P001</x:v>
      </x:c>
      <x:c r="G555" t="str">
        <x:v>Producto Alfa</x:v>
      </x:c>
      <x:c r="H555" t="n">
        <x:v>480</x:v>
      </x:c>
      <x:c r="I555" t="n">
        <x:v>23</x:v>
      </x:c>
      <x:c r="J555" t="n">
        <x:v>24</x:v>
      </x:c>
      <x:c r="K555" t="n">
        <x:v>433</x:v>
      </x:c>
      <x:c r="L555" t="n">
        <x:v>8</x:v>
      </x:c>
      <x:c r="M555" t="n">
        <x:v>3290</x:v>
      </x:c>
      <x:c r="N555" t="n">
        <x:v>3197</x:v>
      </x:c>
      <x:c r="O555" t="n">
        <x:v>2998</x:v>
      </x:c>
      <x:c r="P555" t="n">
        <x:v>199</x:v>
      </x:c>
    </x:row>
    <x:row r="556">
      <x:c r="A556" t="n">
        <x:v>555</x:v>
      </x:c>
      <x:c r="B556" t="str">
        <x:v>2026-09-13</x:v>
      </x:c>
      <x:c r="C556" t="str">
        <x:v>L2</x:v>
      </x:c>
      <x:c r="D556" t="str">
        <x:v>Envasado B</x:v>
      </x:c>
      <x:c r="E556" t="str">
        <x:v>Matutino</x:v>
      </x:c>
      <x:c r="F556" t="str">
        <x:v>P002</x:v>
      </x:c>
      <x:c r="G556" t="str">
        <x:v>Producto Beta</x:v>
      </x:c>
      <x:c r="H556" t="n">
        <x:v>480</x:v>
      </x:c>
      <x:c r="I556" t="n">
        <x:v>32</x:v>
      </x:c>
      <x:c r="J556" t="n">
        <x:v>30</x:v>
      </x:c>
      <x:c r="K556" t="n">
        <x:v>418</x:v>
      </x:c>
      <x:c r="L556" t="n">
        <x:v>7.5</x:v>
      </x:c>
      <x:c r="M556" t="n">
        <x:v>3024</x:v>
      </x:c>
      <x:c r="N556" t="n">
        <x:v>2815</x:v>
      </x:c>
      <x:c r="O556" t="n">
        <x:v>2637</x:v>
      </x:c>
      <x:c r="P556" t="n">
        <x:v>178</x:v>
      </x:c>
    </x:row>
    <x:row r="557">
      <x:c r="A557" t="n">
        <x:v>556</x:v>
      </x:c>
      <x:c r="B557" t="str">
        <x:v>2026-09-13</x:v>
      </x:c>
      <x:c r="C557" t="str">
        <x:v>L2</x:v>
      </x:c>
      <x:c r="D557" t="str">
        <x:v>Envasado B</x:v>
      </x:c>
      <x:c r="E557" t="str">
        <x:v>Vespertino</x:v>
      </x:c>
      <x:c r="F557" t="str">
        <x:v>P002</x:v>
      </x:c>
      <x:c r="G557" t="str">
        <x:v>Producto Beta</x:v>
      </x:c>
      <x:c r="H557" t="n">
        <x:v>480</x:v>
      </x:c>
      <x:c r="I557" t="n">
        <x:v>18</x:v>
      </x:c>
      <x:c r="J557" t="n">
        <x:v>0</x:v>
      </x:c>
      <x:c r="K557" t="n">
        <x:v>462</x:v>
      </x:c>
      <x:c r="L557" t="n">
        <x:v>7.5</x:v>
      </x:c>
      <x:c r="M557" t="n">
        <x:v>3118</x:v>
      </x:c>
      <x:c r="N557" t="n">
        <x:v>3133</x:v>
      </x:c>
      <x:c r="O557" t="n">
        <x:v>2890</x:v>
      </x:c>
      <x:c r="P557" t="n">
        <x:v>243</x:v>
      </x:c>
    </x:row>
    <x:row r="558">
      <x:c r="A558" t="n">
        <x:v>557</x:v>
      </x:c>
      <x:c r="B558" t="str">
        <x:v>2026-09-14</x:v>
      </x:c>
      <x:c r="C558" t="str">
        <x:v>L1</x:v>
      </x:c>
      <x:c r="D558" t="str">
        <x:v>Envasado A</x:v>
      </x:c>
      <x:c r="E558" t="str">
        <x:v>Matutino</x:v>
      </x:c>
      <x:c r="F558" t="str">
        <x:v>P001</x:v>
      </x:c>
      <x:c r="G558" t="str">
        <x:v>Producto Alfa</x:v>
      </x:c>
      <x:c r="H558" t="n">
        <x:v>480</x:v>
      </x:c>
      <x:c r="I558" t="n">
        <x:v>24</x:v>
      </x:c>
      <x:c r="J558" t="n">
        <x:v>31</x:v>
      </x:c>
      <x:c r="K558" t="n">
        <x:v>425</x:v>
      </x:c>
      <x:c r="L558" t="n">
        <x:v>8</x:v>
      </x:c>
      <x:c r="M558" t="n">
        <x:v>3283</x:v>
      </x:c>
      <x:c r="N558" t="n">
        <x:v>3066</x:v>
      </x:c>
      <x:c r="O558" t="n">
        <x:v>2937</x:v>
      </x:c>
      <x:c r="P558" t="n">
        <x:v>129</x:v>
      </x:c>
    </x:row>
    <x:row r="559">
      <x:c r="A559" t="n">
        <x:v>558</x:v>
      </x:c>
      <x:c r="B559" t="str">
        <x:v>2026-09-14</x:v>
      </x:c>
      <x:c r="C559" t="str">
        <x:v>L1</x:v>
      </x:c>
      <x:c r="D559" t="str">
        <x:v>Envasado A</x:v>
      </x:c>
      <x:c r="E559" t="str">
        <x:v>Vespertino</x:v>
      </x:c>
      <x:c r="F559" t="str">
        <x:v>P001</x:v>
      </x:c>
      <x:c r="G559" t="str">
        <x:v>Producto Alfa</x:v>
      </x:c>
      <x:c r="H559" t="n">
        <x:v>480</x:v>
      </x:c>
      <x:c r="I559" t="n">
        <x:v>29</x:v>
      </x:c>
      <x:c r="J559" t="n">
        <x:v>71</x:v>
      </x:c>
      <x:c r="K559" t="n">
        <x:v>380</x:v>
      </x:c>
      <x:c r="L559" t="n">
        <x:v>8</x:v>
      </x:c>
      <x:c r="M559" t="n">
        <x:v>3247</x:v>
      </x:c>
      <x:c r="N559" t="n">
        <x:v>2811</x:v>
      </x:c>
      <x:c r="O559" t="n">
        <x:v>2685</x:v>
      </x:c>
      <x:c r="P559" t="n">
        <x:v>126</x:v>
      </x:c>
    </x:row>
    <x:row r="560">
      <x:c r="A560" t="n">
        <x:v>559</x:v>
      </x:c>
      <x:c r="B560" t="str">
        <x:v>2026-09-14</x:v>
      </x:c>
      <x:c r="C560" t="str">
        <x:v>L2</x:v>
      </x:c>
      <x:c r="D560" t="str">
        <x:v>Envasado B</x:v>
      </x:c>
      <x:c r="E560" t="str">
        <x:v>Matutino</x:v>
      </x:c>
      <x:c r="F560" t="str">
        <x:v>P001</x:v>
      </x:c>
      <x:c r="G560" t="str">
        <x:v>Producto Alfa</x:v>
      </x:c>
      <x:c r="H560" t="n">
        <x:v>480</x:v>
      </x:c>
      <x:c r="I560" t="n">
        <x:v>21</x:v>
      </x:c>
      <x:c r="J560" t="n">
        <x:v>38</x:v>
      </x:c>
      <x:c r="K560" t="n">
        <x:v>421</x:v>
      </x:c>
      <x:c r="L560" t="n">
        <x:v>7.5</x:v>
      </x:c>
      <x:c r="M560" t="n">
        <x:v>3098</x:v>
      </x:c>
      <x:c r="N560" t="n">
        <x:v>2697</x:v>
      </x:c>
      <x:c r="O560" t="n">
        <x:v>2558</x:v>
      </x:c>
      <x:c r="P560" t="n">
        <x:v>139</x:v>
      </x:c>
    </x:row>
    <x:row r="561">
      <x:c r="A561" t="n">
        <x:v>560</x:v>
      </x:c>
      <x:c r="B561" t="str">
        <x:v>2026-09-14</x:v>
      </x:c>
      <x:c r="C561" t="str">
        <x:v>L2</x:v>
      </x:c>
      <x:c r="D561" t="str">
        <x:v>Envasado B</x:v>
      </x:c>
      <x:c r="E561" t="str">
        <x:v>Vespertino</x:v>
      </x:c>
      <x:c r="F561" t="str">
        <x:v>P003</x:v>
      </x:c>
      <x:c r="G561" t="str">
        <x:v>Producto Gamma</x:v>
      </x:c>
      <x:c r="H561" t="n">
        <x:v>480</x:v>
      </x:c>
      <x:c r="I561" t="n">
        <x:v>28</x:v>
      </x:c>
      <x:c r="J561" t="n">
        <x:v>55</x:v>
      </x:c>
      <x:c r="K561" t="n">
        <x:v>397</x:v>
      </x:c>
      <x:c r="L561" t="n">
        <x:v>7.5</x:v>
      </x:c>
      <x:c r="M561" t="n">
        <x:v>3051</x:v>
      </x:c>
      <x:c r="N561" t="n">
        <x:v>2746</x:v>
      </x:c>
      <x:c r="O561" t="n">
        <x:v>2624</x:v>
      </x:c>
      <x:c r="P561" t="n">
        <x:v>122</x:v>
      </x:c>
    </x:row>
    <x:row r="562">
      <x:c r="A562" t="n">
        <x:v>561</x:v>
      </x:c>
      <x:c r="B562" t="str">
        <x:v>2026-09-14</x:v>
      </x:c>
      <x:c r="C562" t="str">
        <x:v>L3</x:v>
      </x:c>
      <x:c r="D562" t="str">
        <x:v>Empaque</x:v>
      </x:c>
      <x:c r="E562" t="str">
        <x:v>Matutino</x:v>
      </x:c>
      <x:c r="F562" t="str">
        <x:v>P001</x:v>
      </x:c>
      <x:c r="G562" t="str">
        <x:v>Producto Alfa</x:v>
      </x:c>
      <x:c r="H562" t="n">
        <x:v>480</x:v>
      </x:c>
      <x:c r="I562" t="n">
        <x:v>21</x:v>
      </x:c>
      <x:c r="J562" t="n">
        <x:v>37</x:v>
      </x:c>
      <x:c r="K562" t="n">
        <x:v>422</x:v>
      </x:c>
      <x:c r="L562" t="n">
        <x:v>8.67</x:v>
      </x:c>
      <x:c r="M562" t="n">
        <x:v>3580</x:v>
      </x:c>
      <x:c r="N562" t="n">
        <x:v>3127</x:v>
      </x:c>
      <x:c r="O562" t="n">
        <x:v>2952</x:v>
      </x:c>
      <x:c r="P562" t="n">
        <x:v>175</x:v>
      </x:c>
    </x:row>
    <x:row r="563">
      <x:c r="A563" t="n">
        <x:v>562</x:v>
      </x:c>
      <x:c r="B563" t="str">
        <x:v>2026-09-14</x:v>
      </x:c>
      <x:c r="C563" t="str">
        <x:v>L3</x:v>
      </x:c>
      <x:c r="D563" t="str">
        <x:v>Empaque</x:v>
      </x:c>
      <x:c r="E563" t="str">
        <x:v>Vespertino</x:v>
      </x:c>
      <x:c r="F563" t="str">
        <x:v>P001</x:v>
      </x:c>
      <x:c r="G563" t="str">
        <x:v>Producto Alfa</x:v>
      </x:c>
      <x:c r="H563" t="n">
        <x:v>480</x:v>
      </x:c>
      <x:c r="I563" t="n">
        <x:v>25</x:v>
      </x:c>
      <x:c r="J563" t="n">
        <x:v>22</x:v>
      </x:c>
      <x:c r="K563" t="n">
        <x:v>433</x:v>
      </x:c>
      <x:c r="L563" t="n">
        <x:v>8.67</x:v>
      </x:c>
      <x:c r="M563" t="n">
        <x:v>3549</x:v>
      </x:c>
      <x:c r="N563" t="n">
        <x:v>3554</x:v>
      </x:c>
      <x:c r="O563" t="n">
        <x:v>3407</x:v>
      </x:c>
      <x:c r="P563" t="n">
        <x:v>147</x:v>
      </x:c>
    </x:row>
    <x:row r="564">
      <x:c r="A564" t="n">
        <x:v>563</x:v>
      </x:c>
      <x:c r="B564" t="str">
        <x:v>2026-09-14</x:v>
      </x:c>
      <x:c r="C564" t="str">
        <x:v>L4</x:v>
      </x:c>
      <x:c r="D564" t="str">
        <x:v>Etiquetado</x:v>
      </x:c>
      <x:c r="E564" t="str">
        <x:v>Matutino</x:v>
      </x:c>
      <x:c r="F564" t="str">
        <x:v>P003</x:v>
      </x:c>
      <x:c r="G564" t="str">
        <x:v>Producto Gamma</x:v>
      </x:c>
      <x:c r="H564" t="n">
        <x:v>480</x:v>
      </x:c>
      <x:c r="I564" t="n">
        <x:v>23</x:v>
      </x:c>
      <x:c r="J564" t="n">
        <x:v>53</x:v>
      </x:c>
      <x:c r="K564" t="n">
        <x:v>404</x:v>
      </x:c>
      <x:c r="L564" t="n">
        <x:v>10</x:v>
      </x:c>
      <x:c r="M564" t="n">
        <x:v>4113</x:v>
      </x:c>
      <x:c r="N564" t="n">
        <x:v>3612</x:v>
      </x:c>
      <x:c r="O564" t="n">
        <x:v>3495</x:v>
      </x:c>
      <x:c r="P564" t="n">
        <x:v>117</x:v>
      </x:c>
    </x:row>
    <x:row r="565">
      <x:c r="A565" t="n">
        <x:v>564</x:v>
      </x:c>
      <x:c r="B565" t="str">
        <x:v>2026-09-14</x:v>
      </x:c>
      <x:c r="C565" t="str">
        <x:v>L4</x:v>
      </x:c>
      <x:c r="D565" t="str">
        <x:v>Etiquetado</x:v>
      </x:c>
      <x:c r="E565" t="str">
        <x:v>Vespertino</x:v>
      </x:c>
      <x:c r="F565" t="str">
        <x:v>P001</x:v>
      </x:c>
      <x:c r="G565" t="str">
        <x:v>Producto Alfa</x:v>
      </x:c>
      <x:c r="H565" t="n">
        <x:v>480</x:v>
      </x:c>
      <x:c r="I565" t="n">
        <x:v>28</x:v>
      </x:c>
      <x:c r="J565" t="n">
        <x:v>4</x:v>
      </x:c>
      <x:c r="K565" t="n">
        <x:v>448</x:v>
      </x:c>
      <x:c r="L565" t="n">
        <x:v>10</x:v>
      </x:c>
      <x:c r="M565" t="n">
        <x:v>4068</x:v>
      </x:c>
      <x:c r="N565" t="n">
        <x:v>4626</x:v>
      </x:c>
      <x:c r="O565" t="n">
        <x:v>4356</x:v>
      </x:c>
      <x:c r="P565" t="n">
        <x:v>270</x:v>
      </x:c>
    </x:row>
    <x:row r="566">
      <x:c r="A566" t="n">
        <x:v>565</x:v>
      </x:c>
      <x:c r="B566" t="str">
        <x:v>2026-09-15</x:v>
      </x:c>
      <x:c r="C566" t="str">
        <x:v>L1</x:v>
      </x:c>
      <x:c r="D566" t="str">
        <x:v>Envasado A</x:v>
      </x:c>
      <x:c r="E566" t="str">
        <x:v>Matutino</x:v>
      </x:c>
      <x:c r="F566" t="str">
        <x:v>P003</x:v>
      </x:c>
      <x:c r="G566" t="str">
        <x:v>Producto Gamma</x:v>
      </x:c>
      <x:c r="H566" t="n">
        <x:v>480</x:v>
      </x:c>
      <x:c r="I566" t="n">
        <x:v>19</x:v>
      </x:c>
      <x:c r="J566" t="n">
        <x:v>24</x:v>
      </x:c>
      <x:c r="K566" t="n">
        <x:v>437</x:v>
      </x:c>
      <x:c r="L566" t="n">
        <x:v>8</x:v>
      </x:c>
      <x:c r="M566" t="n">
        <x:v>3319</x:v>
      </x:c>
      <x:c r="N566" t="n">
        <x:v>3101</x:v>
      </x:c>
      <x:c r="O566" t="n">
        <x:v>2965</x:v>
      </x:c>
      <x:c r="P566" t="n">
        <x:v>136</x:v>
      </x:c>
    </x:row>
    <x:row r="567">
      <x:c r="A567" t="n">
        <x:v>566</x:v>
      </x:c>
      <x:c r="B567" t="str">
        <x:v>2026-09-15</x:v>
      </x:c>
      <x:c r="C567" t="str">
        <x:v>L1</x:v>
      </x:c>
      <x:c r="D567" t="str">
        <x:v>Envasado A</x:v>
      </x:c>
      <x:c r="E567" t="str">
        <x:v>Vespertino</x:v>
      </x:c>
      <x:c r="F567" t="str">
        <x:v>P001</x:v>
      </x:c>
      <x:c r="G567" t="str">
        <x:v>Producto Alfa</x:v>
      </x:c>
      <x:c r="H567" t="n">
        <x:v>480</x:v>
      </x:c>
      <x:c r="I567" t="n">
        <x:v>27</x:v>
      </x:c>
      <x:c r="J567" t="n">
        <x:v>43</x:v>
      </x:c>
      <x:c r="K567" t="n">
        <x:v>410</x:v>
      </x:c>
      <x:c r="L567" t="n">
        <x:v>8</x:v>
      </x:c>
      <x:c r="M567" t="n">
        <x:v>3261</x:v>
      </x:c>
      <x:c r="N567" t="n">
        <x:v>2791</x:v>
      </x:c>
      <x:c r="O567" t="n">
        <x:v>2682</x:v>
      </x:c>
      <x:c r="P567" t="n">
        <x:v>109</x:v>
      </x:c>
    </x:row>
    <x:row r="568">
      <x:c r="A568" t="n">
        <x:v>567</x:v>
      </x:c>
      <x:c r="B568" t="str">
        <x:v>2026-09-15</x:v>
      </x:c>
      <x:c r="C568" t="str">
        <x:v>L2</x:v>
      </x:c>
      <x:c r="D568" t="str">
        <x:v>Envasado B</x:v>
      </x:c>
      <x:c r="E568" t="str">
        <x:v>Matutino</x:v>
      </x:c>
      <x:c r="F568" t="str">
        <x:v>P002</x:v>
      </x:c>
      <x:c r="G568" t="str">
        <x:v>Producto Beta</x:v>
      </x:c>
      <x:c r="H568" t="n">
        <x:v>480</x:v>
      </x:c>
      <x:c r="I568" t="n">
        <x:v>35</x:v>
      </x:c>
      <x:c r="J568" t="n">
        <x:v>7</x:v>
      </x:c>
      <x:c r="K568" t="n">
        <x:v>438</x:v>
      </x:c>
      <x:c r="L568" t="n">
        <x:v>7.5</x:v>
      </x:c>
      <x:c r="M568" t="n">
        <x:v>3003</x:v>
      </x:c>
      <x:c r="N568" t="n">
        <x:v>3072</x:v>
      </x:c>
      <x:c r="O568" t="n">
        <x:v>2836</x:v>
      </x:c>
      <x:c r="P568" t="n">
        <x:v>236</x:v>
      </x:c>
    </x:row>
    <x:row r="569">
      <x:c r="A569" t="n">
        <x:v>568</x:v>
      </x:c>
      <x:c r="B569" t="str">
        <x:v>2026-09-15</x:v>
      </x:c>
      <x:c r="C569" t="str">
        <x:v>L2</x:v>
      </x:c>
      <x:c r="D569" t="str">
        <x:v>Envasado B</x:v>
      </x:c>
      <x:c r="E569" t="str">
        <x:v>Vespertino</x:v>
      </x:c>
      <x:c r="F569" t="str">
        <x:v>P001</x:v>
      </x:c>
      <x:c r="G569" t="str">
        <x:v>Producto Alfa</x:v>
      </x:c>
      <x:c r="H569" t="n">
        <x:v>480</x:v>
      </x:c>
      <x:c r="I569" t="n">
        <x:v>27</x:v>
      </x:c>
      <x:c r="J569" t="n">
        <x:v>0</x:v>
      </x:c>
      <x:c r="K569" t="n">
        <x:v>453</x:v>
      </x:c>
      <x:c r="L569" t="n">
        <x:v>7.5</x:v>
      </x:c>
      <x:c r="M569" t="n">
        <x:v>3057</x:v>
      </x:c>
      <x:c r="N569" t="n">
        <x:v>2968</x:v>
      </x:c>
      <x:c r="O569" t="n">
        <x:v>2846</x:v>
      </x:c>
      <x:c r="P569" t="n">
        <x:v>122</x:v>
      </x:c>
    </x:row>
    <x:row r="570">
      <x:c r="A570" t="n">
        <x:v>569</x:v>
      </x:c>
      <x:c r="B570" t="str">
        <x:v>2026-09-15</x:v>
      </x:c>
      <x:c r="C570" t="str">
        <x:v>L3</x:v>
      </x:c>
      <x:c r="D570" t="str">
        <x:v>Empaque</x:v>
      </x:c>
      <x:c r="E570" t="str">
        <x:v>Matutino</x:v>
      </x:c>
      <x:c r="F570" t="str">
        <x:v>P002</x:v>
      </x:c>
      <x:c r="G570" t="str">
        <x:v>Producto Beta</x:v>
      </x:c>
      <x:c r="H570" t="n">
        <x:v>480</x:v>
      </x:c>
      <x:c r="I570" t="n">
        <x:v>29</x:v>
      </x:c>
      <x:c r="J570" t="n">
        <x:v>46</x:v>
      </x:c>
      <x:c r="K570" t="n">
        <x:v>405</x:v>
      </x:c>
      <x:c r="L570" t="n">
        <x:v>8.67</x:v>
      </x:c>
      <x:c r="M570" t="n">
        <x:v>3517</x:v>
      </x:c>
      <x:c r="N570" t="n">
        <x:v>3150</x:v>
      </x:c>
      <x:c r="O570" t="n">
        <x:v>3026</x:v>
      </x:c>
      <x:c r="P570" t="n">
        <x:v>124</x:v>
      </x:c>
    </x:row>
    <x:row r="571">
      <x:c r="A571" t="n">
        <x:v>570</x:v>
      </x:c>
      <x:c r="B571" t="str">
        <x:v>2026-09-15</x:v>
      </x:c>
      <x:c r="C571" t="str">
        <x:v>L3</x:v>
      </x:c>
      <x:c r="D571" t="str">
        <x:v>Empaque</x:v>
      </x:c>
      <x:c r="E571" t="str">
        <x:v>Vespertino</x:v>
      </x:c>
      <x:c r="F571" t="str">
        <x:v>P003</x:v>
      </x:c>
      <x:c r="G571" t="str">
        <x:v>Producto Gamma</x:v>
      </x:c>
      <x:c r="H571" t="n">
        <x:v>480</x:v>
      </x:c>
      <x:c r="I571" t="n">
        <x:v>17</x:v>
      </x:c>
      <x:c r="J571" t="n">
        <x:v>28</x:v>
      </x:c>
      <x:c r="K571" t="n">
        <x:v>435</x:v>
      </x:c>
      <x:c r="L571" t="n">
        <x:v>8.67</x:v>
      </x:c>
      <x:c r="M571" t="n">
        <x:v>3611</x:v>
      </x:c>
      <x:c r="N571" t="n">
        <x:v>3408</x:v>
      </x:c>
      <x:c r="O571" t="n">
        <x:v>3192</x:v>
      </x:c>
      <x:c r="P571" t="n">
        <x:v>216</x:v>
      </x:c>
    </x:row>
    <x:row r="572">
      <x:c r="A572" t="n">
        <x:v>571</x:v>
      </x:c>
      <x:c r="B572" t="str">
        <x:v>2026-09-15</x:v>
      </x:c>
      <x:c r="C572" t="str">
        <x:v>L4</x:v>
      </x:c>
      <x:c r="D572" t="str">
        <x:v>Etiquetado</x:v>
      </x:c>
      <x:c r="E572" t="str">
        <x:v>Matutino</x:v>
      </x:c>
      <x:c r="F572" t="str">
        <x:v>P003</x:v>
      </x:c>
      <x:c r="G572" t="str">
        <x:v>Producto Gamma</x:v>
      </x:c>
      <x:c r="H572" t="n">
        <x:v>480</x:v>
      </x:c>
      <x:c r="I572" t="n">
        <x:v>26</x:v>
      </x:c>
      <x:c r="J572" t="n">
        <x:v>51</x:v>
      </x:c>
      <x:c r="K572" t="n">
        <x:v>403</x:v>
      </x:c>
      <x:c r="L572" t="n">
        <x:v>10</x:v>
      </x:c>
      <x:c r="M572" t="n">
        <x:v>4086</x:v>
      </x:c>
      <x:c r="N572" t="n">
        <x:v>3405</x:v>
      </x:c>
      <x:c r="O572" t="n">
        <x:v>3148</x:v>
      </x:c>
      <x:c r="P572" t="n">
        <x:v>257</x:v>
      </x:c>
    </x:row>
    <x:row r="573">
      <x:c r="A573" t="n">
        <x:v>572</x:v>
      </x:c>
      <x:c r="B573" t="str">
        <x:v>2026-09-15</x:v>
      </x:c>
      <x:c r="C573" t="str">
        <x:v>L4</x:v>
      </x:c>
      <x:c r="D573" t="str">
        <x:v>Etiquetado</x:v>
      </x:c>
      <x:c r="E573" t="str">
        <x:v>Vespertino</x:v>
      </x:c>
      <x:c r="F573" t="str">
        <x:v>P001</x:v>
      </x:c>
      <x:c r="G573" t="str">
        <x:v>Producto Alfa</x:v>
      </x:c>
      <x:c r="H573" t="n">
        <x:v>480</x:v>
      </x:c>
      <x:c r="I573" t="n">
        <x:v>30</x:v>
      </x:c>
      <x:c r="J573" t="n">
        <x:v>62</x:v>
      </x:c>
      <x:c r="K573" t="n">
        <x:v>388</x:v>
      </x:c>
      <x:c r="L573" t="n">
        <x:v>10</x:v>
      </x:c>
      <x:c r="M573" t="n">
        <x:v>4050</x:v>
      </x:c>
      <x:c r="N573" t="n">
        <x:v>3492</x:v>
      </x:c>
      <x:c r="O573" t="n">
        <x:v>3430</x:v>
      </x:c>
      <x:c r="P573" t="n">
        <x:v>62</x:v>
      </x:c>
    </x:row>
    <x:row r="574">
      <x:c r="A574" t="n">
        <x:v>573</x:v>
      </x:c>
      <x:c r="B574" t="str">
        <x:v>2026-09-16</x:v>
      </x:c>
      <x:c r="C574" t="str">
        <x:v>L1</x:v>
      </x:c>
      <x:c r="D574" t="str">
        <x:v>Envasado A</x:v>
      </x:c>
      <x:c r="E574" t="str">
        <x:v>Matutino</x:v>
      </x:c>
      <x:c r="F574" t="str">
        <x:v>P002</x:v>
      </x:c>
      <x:c r="G574" t="str">
        <x:v>Producto Beta</x:v>
      </x:c>
      <x:c r="H574" t="n">
        <x:v>480</x:v>
      </x:c>
      <x:c r="I574" t="n">
        <x:v>32</x:v>
      </x:c>
      <x:c r="J574" t="n">
        <x:v>2</x:v>
      </x:c>
      <x:c r="K574" t="n">
        <x:v>446</x:v>
      </x:c>
      <x:c r="L574" t="n">
        <x:v>8</x:v>
      </x:c>
      <x:c r="M574" t="n">
        <x:v>3225</x:v>
      </x:c>
      <x:c r="N574" t="n">
        <x:v>3149</x:v>
      </x:c>
      <x:c r="O574" t="n">
        <x:v>2925</x:v>
      </x:c>
      <x:c r="P574" t="n">
        <x:v>224</x:v>
      </x:c>
    </x:row>
    <x:row r="575">
      <x:c r="A575" t="n">
        <x:v>574</x:v>
      </x:c>
      <x:c r="B575" t="str">
        <x:v>2026-09-16</x:v>
      </x:c>
      <x:c r="C575" t="str">
        <x:v>L1</x:v>
      </x:c>
      <x:c r="D575" t="str">
        <x:v>Envasado A</x:v>
      </x:c>
      <x:c r="E575" t="str">
        <x:v>Vespertino</x:v>
      </x:c>
      <x:c r="F575" t="str">
        <x:v>P003</x:v>
      </x:c>
      <x:c r="G575" t="str">
        <x:v>Producto Gamma</x:v>
      </x:c>
      <x:c r="H575" t="n">
        <x:v>480</x:v>
      </x:c>
      <x:c r="I575" t="n">
        <x:v>16</x:v>
      </x:c>
      <x:c r="J575" t="n">
        <x:v>29</x:v>
      </x:c>
      <x:c r="K575" t="n">
        <x:v>435</x:v>
      </x:c>
      <x:c r="L575" t="n">
        <x:v>8</x:v>
      </x:c>
      <x:c r="M575" t="n">
        <x:v>3340</x:v>
      </x:c>
      <x:c r="N575" t="n">
        <x:v>3377</x:v>
      </x:c>
      <x:c r="O575" t="n">
        <x:v>3224</x:v>
      </x:c>
      <x:c r="P575" t="n">
        <x:v>153</x:v>
      </x:c>
    </x:row>
    <x:row r="576">
      <x:c r="A576" t="n">
        <x:v>575</x:v>
      </x:c>
      <x:c r="B576" t="str">
        <x:v>2026-09-16</x:v>
      </x:c>
      <x:c r="C576" t="str">
        <x:v>L2</x:v>
      </x:c>
      <x:c r="D576" t="str">
        <x:v>Envasado B</x:v>
      </x:c>
      <x:c r="E576" t="str">
        <x:v>Matutino</x:v>
      </x:c>
      <x:c r="F576" t="str">
        <x:v>P002</x:v>
      </x:c>
      <x:c r="G576" t="str">
        <x:v>Producto Beta</x:v>
      </x:c>
      <x:c r="H576" t="n">
        <x:v>480</x:v>
      </x:c>
      <x:c r="I576" t="n">
        <x:v>15</x:v>
      </x:c>
      <x:c r="J576" t="n">
        <x:v>58</x:v>
      </x:c>
      <x:c r="K576" t="n">
        <x:v>407</x:v>
      </x:c>
      <x:c r="L576" t="n">
        <x:v>7.5</x:v>
      </x:c>
      <x:c r="M576" t="n">
        <x:v>3138</x:v>
      </x:c>
      <x:c r="N576" t="n">
        <x:v>2968</x:v>
      </x:c>
      <x:c r="O576" t="n">
        <x:v>2788</x:v>
      </x:c>
      <x:c r="P576" t="n">
        <x:v>180</x:v>
      </x:c>
    </x:row>
    <x:row r="577">
      <x:c r="A577" t="n">
        <x:v>576</x:v>
      </x:c>
      <x:c r="B577" t="str">
        <x:v>2026-09-16</x:v>
      </x:c>
      <x:c r="C577" t="str">
        <x:v>L2</x:v>
      </x:c>
      <x:c r="D577" t="str">
        <x:v>Envasado B</x:v>
      </x:c>
      <x:c r="E577" t="str">
        <x:v>Vespertino</x:v>
      </x:c>
      <x:c r="F577" t="str">
        <x:v>P002</x:v>
      </x:c>
      <x:c r="G577" t="str">
        <x:v>Producto Beta</x:v>
      </x:c>
      <x:c r="H577" t="n">
        <x:v>480</x:v>
      </x:c>
      <x:c r="I577" t="n">
        <x:v>21</x:v>
      </x:c>
      <x:c r="J577" t="n">
        <x:v>28</x:v>
      </x:c>
      <x:c r="K577" t="n">
        <x:v>431</x:v>
      </x:c>
      <x:c r="L577" t="n">
        <x:v>7.5</x:v>
      </x:c>
      <x:c r="M577" t="n">
        <x:v>3098</x:v>
      </x:c>
      <x:c r="N577" t="n">
        <x:v>3260</x:v>
      </x:c>
      <x:c r="O577" t="n">
        <x:v>3062</x:v>
      </x:c>
      <x:c r="P577" t="n">
        <x:v>198</x:v>
      </x:c>
    </x:row>
    <x:row r="578">
      <x:c r="A578" t="n">
        <x:v>577</x:v>
      </x:c>
      <x:c r="B578" t="str">
        <x:v>2026-09-16</x:v>
      </x:c>
      <x:c r="C578" t="str">
        <x:v>L3</x:v>
      </x:c>
      <x:c r="D578" t="str">
        <x:v>Empaque</x:v>
      </x:c>
      <x:c r="E578" t="str">
        <x:v>Matutino</x:v>
      </x:c>
      <x:c r="F578" t="str">
        <x:v>P003</x:v>
      </x:c>
      <x:c r="G578" t="str">
        <x:v>Producto Gamma</x:v>
      </x:c>
      <x:c r="H578" t="n">
        <x:v>480</x:v>
      </x:c>
      <x:c r="I578" t="n">
        <x:v>24</x:v>
      </x:c>
      <x:c r="J578" t="n">
        <x:v>55</x:v>
      </x:c>
      <x:c r="K578" t="n">
        <x:v>401</x:v>
      </x:c>
      <x:c r="L578" t="n">
        <x:v>8.67</x:v>
      </x:c>
      <x:c r="M578" t="n">
        <x:v>3556</x:v>
      </x:c>
      <x:c r="N578" t="n">
        <x:v>3468</x:v>
      </x:c>
      <x:c r="O578" t="n">
        <x:v>3285</x:v>
      </x:c>
      <x:c r="P578" t="n">
        <x:v>183</x:v>
      </x:c>
    </x:row>
    <x:row r="579">
      <x:c r="A579" t="n">
        <x:v>578</x:v>
      </x:c>
      <x:c r="B579" t="str">
        <x:v>2026-09-16</x:v>
      </x:c>
      <x:c r="C579" t="str">
        <x:v>L3</x:v>
      </x:c>
      <x:c r="D579" t="str">
        <x:v>Empaque</x:v>
      </x:c>
      <x:c r="E579" t="str">
        <x:v>Vespertino</x:v>
      </x:c>
      <x:c r="F579" t="str">
        <x:v>P002</x:v>
      </x:c>
      <x:c r="G579" t="str">
        <x:v>Producto Beta</x:v>
      </x:c>
      <x:c r="H579" t="n">
        <x:v>480</x:v>
      </x:c>
      <x:c r="I579" t="n">
        <x:v>17</x:v>
      </x:c>
      <x:c r="J579" t="n">
        <x:v>59</x:v>
      </x:c>
      <x:c r="K579" t="n">
        <x:v>404</x:v>
      </x:c>
      <x:c r="L579" t="n">
        <x:v>8.67</x:v>
      </x:c>
      <x:c r="M579" t="n">
        <x:v>3611</x:v>
      </x:c>
      <x:c r="N579" t="n">
        <x:v>2949</x:v>
      </x:c>
      <x:c r="O579" t="n">
        <x:v>2827</x:v>
      </x:c>
      <x:c r="P579" t="n">
        <x:v>122</x:v>
      </x:c>
    </x:row>
    <x:row r="580">
      <x:c r="A580" t="n">
        <x:v>579</x:v>
      </x:c>
      <x:c r="B580" t="str">
        <x:v>2026-09-16</x:v>
      </x:c>
      <x:c r="C580" t="str">
        <x:v>L4</x:v>
      </x:c>
      <x:c r="D580" t="str">
        <x:v>Etiquetado</x:v>
      </x:c>
      <x:c r="E580" t="str">
        <x:v>Matutino</x:v>
      </x:c>
      <x:c r="F580" t="str">
        <x:v>P001</x:v>
      </x:c>
      <x:c r="G580" t="str">
        <x:v>Producto Alfa</x:v>
      </x:c>
      <x:c r="H580" t="n">
        <x:v>480</x:v>
      </x:c>
      <x:c r="I580" t="n">
        <x:v>16</x:v>
      </x:c>
      <x:c r="J580" t="n">
        <x:v>13</x:v>
      </x:c>
      <x:c r="K580" t="n">
        <x:v>451</x:v>
      </x:c>
      <x:c r="L580" t="n">
        <x:v>10</x:v>
      </x:c>
      <x:c r="M580" t="n">
        <x:v>4176</x:v>
      </x:c>
      <x:c r="N580" t="n">
        <x:v>4209</x:v>
      </x:c>
      <x:c r="O580" t="n">
        <x:v>4029</x:v>
      </x:c>
      <x:c r="P580" t="n">
        <x:v>180</x:v>
      </x:c>
    </x:row>
    <x:row r="581">
      <x:c r="A581" t="n">
        <x:v>580</x:v>
      </x:c>
      <x:c r="B581" t="str">
        <x:v>2026-09-16</x:v>
      </x:c>
      <x:c r="C581" t="str">
        <x:v>L4</x:v>
      </x:c>
      <x:c r="D581" t="str">
        <x:v>Etiquetado</x:v>
      </x:c>
      <x:c r="E581" t="str">
        <x:v>Vespertino</x:v>
      </x:c>
      <x:c r="F581" t="str">
        <x:v>P003</x:v>
      </x:c>
      <x:c r="G581" t="str">
        <x:v>Producto Gamma</x:v>
      </x:c>
      <x:c r="H581" t="n">
        <x:v>480</x:v>
      </x:c>
      <x:c r="I581" t="n">
        <x:v>17</x:v>
      </x:c>
      <x:c r="J581" t="n">
        <x:v>12</x:v>
      </x:c>
      <x:c r="K581" t="n">
        <x:v>451</x:v>
      </x:c>
      <x:c r="L581" t="n">
        <x:v>10</x:v>
      </x:c>
      <x:c r="M581" t="n">
        <x:v>4167</x:v>
      </x:c>
      <x:c r="N581" t="n">
        <x:v>4101</x:v>
      </x:c>
      <x:c r="O581" t="n">
        <x:v>3893</x:v>
      </x:c>
      <x:c r="P581" t="n">
        <x:v>208</x:v>
      </x:c>
    </x:row>
    <x:row r="582">
      <x:c r="A582" t="n">
        <x:v>581</x:v>
      </x:c>
      <x:c r="B582" t="str">
        <x:v>2026-09-17</x:v>
      </x:c>
      <x:c r="C582" t="str">
        <x:v>L1</x:v>
      </x:c>
      <x:c r="D582" t="str">
        <x:v>Envasado A</x:v>
      </x:c>
      <x:c r="E582" t="str">
        <x:v>Matutino</x:v>
      </x:c>
      <x:c r="F582" t="str">
        <x:v>P002</x:v>
      </x:c>
      <x:c r="G582" t="str">
        <x:v>Producto Beta</x:v>
      </x:c>
      <x:c r="H582" t="n">
        <x:v>480</x:v>
      </x:c>
      <x:c r="I582" t="n">
        <x:v>17</x:v>
      </x:c>
      <x:c r="J582" t="n">
        <x:v>38</x:v>
      </x:c>
      <x:c r="K582" t="n">
        <x:v>425</x:v>
      </x:c>
      <x:c r="L582" t="n">
        <x:v>8</x:v>
      </x:c>
      <x:c r="M582" t="n">
        <x:v>3333</x:v>
      </x:c>
      <x:c r="N582" t="n">
        <x:v>3175</x:v>
      </x:c>
      <x:c r="O582" t="n">
        <x:v>2982</x:v>
      </x:c>
      <x:c r="P582" t="n">
        <x:v>193</x:v>
      </x:c>
    </x:row>
    <x:row r="583">
      <x:c r="A583" t="n">
        <x:v>582</x:v>
      </x:c>
      <x:c r="B583" t="str">
        <x:v>2026-09-17</x:v>
      </x:c>
      <x:c r="C583" t="str">
        <x:v>L1</x:v>
      </x:c>
      <x:c r="D583" t="str">
        <x:v>Envasado A</x:v>
      </x:c>
      <x:c r="E583" t="str">
        <x:v>Vespertino</x:v>
      </x:c>
      <x:c r="F583" t="str">
        <x:v>P003</x:v>
      </x:c>
      <x:c r="G583" t="str">
        <x:v>Producto Gamma</x:v>
      </x:c>
      <x:c r="H583" t="n">
        <x:v>480</x:v>
      </x:c>
      <x:c r="I583" t="n">
        <x:v>25</x:v>
      </x:c>
      <x:c r="J583" t="n">
        <x:v>25</x:v>
      </x:c>
      <x:c r="K583" t="n">
        <x:v>430</x:v>
      </x:c>
      <x:c r="L583" t="n">
        <x:v>8</x:v>
      </x:c>
      <x:c r="M583" t="n">
        <x:v>3276</x:v>
      </x:c>
      <x:c r="N583" t="n">
        <x:v>3319</x:v>
      </x:c>
      <x:c r="O583" t="n">
        <x:v>3044</x:v>
      </x:c>
      <x:c r="P583" t="n">
        <x:v>275</x:v>
      </x:c>
    </x:row>
    <x:row r="584">
      <x:c r="A584" t="n">
        <x:v>583</x:v>
      </x:c>
      <x:c r="B584" t="str">
        <x:v>2026-09-17</x:v>
      </x:c>
      <x:c r="C584" t="str">
        <x:v>L2</x:v>
      </x:c>
      <x:c r="D584" t="str">
        <x:v>Envasado B</x:v>
      </x:c>
      <x:c r="E584" t="str">
        <x:v>Matutino</x:v>
      </x:c>
      <x:c r="F584" t="str">
        <x:v>P002</x:v>
      </x:c>
      <x:c r="G584" t="str">
        <x:v>Producto Beta</x:v>
      </x:c>
      <x:c r="H584" t="n">
        <x:v>480</x:v>
      </x:c>
      <x:c r="I584" t="n">
        <x:v>19</x:v>
      </x:c>
      <x:c r="J584" t="n">
        <x:v>12</x:v>
      </x:c>
      <x:c r="K584" t="n">
        <x:v>449</x:v>
      </x:c>
      <x:c r="L584" t="n">
        <x:v>7.5</x:v>
      </x:c>
      <x:c r="M584" t="n">
        <x:v>3111</x:v>
      </x:c>
      <x:c r="N584" t="n">
        <x:v>3079</x:v>
      </x:c>
      <x:c r="O584" t="n">
        <x:v>2950</x:v>
      </x:c>
      <x:c r="P584" t="n">
        <x:v>129</x:v>
      </x:c>
    </x:row>
    <x:row r="585">
      <x:c r="A585" t="n">
        <x:v>584</x:v>
      </x:c>
      <x:c r="B585" t="str">
        <x:v>2026-09-17</x:v>
      </x:c>
      <x:c r="C585" t="str">
        <x:v>L2</x:v>
      </x:c>
      <x:c r="D585" t="str">
        <x:v>Envasado B</x:v>
      </x:c>
      <x:c r="E585" t="str">
        <x:v>Vespertino</x:v>
      </x:c>
      <x:c r="F585" t="str">
        <x:v>P001</x:v>
      </x:c>
      <x:c r="G585" t="str">
        <x:v>Producto Alfa</x:v>
      </x:c>
      <x:c r="H585" t="n">
        <x:v>480</x:v>
      </x:c>
      <x:c r="I585" t="n">
        <x:v>25</x:v>
      </x:c>
      <x:c r="J585" t="n">
        <x:v>49</x:v>
      </x:c>
      <x:c r="K585" t="n">
        <x:v>406</x:v>
      </x:c>
      <x:c r="L585" t="n">
        <x:v>7.5</x:v>
      </x:c>
      <x:c r="M585" t="n">
        <x:v>3071</x:v>
      </x:c>
      <x:c r="N585" t="n">
        <x:v>2693</x:v>
      </x:c>
      <x:c r="O585" t="n">
        <x:v>2605</x:v>
      </x:c>
      <x:c r="P585" t="n">
        <x:v>88</x:v>
      </x:c>
    </x:row>
    <x:row r="586">
      <x:c r="A586" t="n">
        <x:v>585</x:v>
      </x:c>
      <x:c r="B586" t="str">
        <x:v>2026-09-17</x:v>
      </x:c>
      <x:c r="C586" t="str">
        <x:v>L3</x:v>
      </x:c>
      <x:c r="D586" t="str">
        <x:v>Empaque</x:v>
      </x:c>
      <x:c r="E586" t="str">
        <x:v>Matutino</x:v>
      </x:c>
      <x:c r="F586" t="str">
        <x:v>P002</x:v>
      </x:c>
      <x:c r="G586" t="str">
        <x:v>Producto Beta</x:v>
      </x:c>
      <x:c r="H586" t="n">
        <x:v>480</x:v>
      </x:c>
      <x:c r="I586" t="n">
        <x:v>19</x:v>
      </x:c>
      <x:c r="J586" t="n">
        <x:v>7</x:v>
      </x:c>
      <x:c r="K586" t="n">
        <x:v>454</x:v>
      </x:c>
      <x:c r="L586" t="n">
        <x:v>8.67</x:v>
      </x:c>
      <x:c r="M586" t="n">
        <x:v>3595</x:v>
      </x:c>
      <x:c r="N586" t="n">
        <x:v>3373</x:v>
      </x:c>
      <x:c r="O586" t="n">
        <x:v>3217</x:v>
      </x:c>
      <x:c r="P586" t="n">
        <x:v>156</x:v>
      </x:c>
    </x:row>
    <x:row r="587">
      <x:c r="A587" t="n">
        <x:v>586</x:v>
      </x:c>
      <x:c r="B587" t="str">
        <x:v>2026-09-17</x:v>
      </x:c>
      <x:c r="C587" t="str">
        <x:v>L3</x:v>
      </x:c>
      <x:c r="D587" t="str">
        <x:v>Empaque</x:v>
      </x:c>
      <x:c r="E587" t="str">
        <x:v>Vespertino</x:v>
      </x:c>
      <x:c r="F587" t="str">
        <x:v>P003</x:v>
      </x:c>
      <x:c r="G587" t="str">
        <x:v>Producto Gamma</x:v>
      </x:c>
      <x:c r="H587" t="n">
        <x:v>480</x:v>
      </x:c>
      <x:c r="I587" t="n">
        <x:v>35</x:v>
      </x:c>
      <x:c r="J587" t="n">
        <x:v>39</x:v>
      </x:c>
      <x:c r="K587" t="n">
        <x:v>406</x:v>
      </x:c>
      <x:c r="L587" t="n">
        <x:v>8.67</x:v>
      </x:c>
      <x:c r="M587" t="n">
        <x:v>3471</x:v>
      </x:c>
      <x:c r="N587" t="n">
        <x:v>3277</x:v>
      </x:c>
      <x:c r="O587" t="n">
        <x:v>3144</x:v>
      </x:c>
      <x:c r="P587" t="n">
        <x:v>133</x:v>
      </x:c>
    </x:row>
    <x:row r="588">
      <x:c r="A588" t="n">
        <x:v>587</x:v>
      </x:c>
      <x:c r="B588" t="str">
        <x:v>2026-09-17</x:v>
      </x:c>
      <x:c r="C588" t="str">
        <x:v>L4</x:v>
      </x:c>
      <x:c r="D588" t="str">
        <x:v>Etiquetado</x:v>
      </x:c>
      <x:c r="E588" t="str">
        <x:v>Matutino</x:v>
      </x:c>
      <x:c r="F588" t="str">
        <x:v>P001</x:v>
      </x:c>
      <x:c r="G588" t="str">
        <x:v>Producto Alfa</x:v>
      </x:c>
      <x:c r="H588" t="n">
        <x:v>480</x:v>
      </x:c>
      <x:c r="I588" t="n">
        <x:v>35</x:v>
      </x:c>
      <x:c r="J588" t="n">
        <x:v>27</x:v>
      </x:c>
      <x:c r="K588" t="n">
        <x:v>418</x:v>
      </x:c>
      <x:c r="L588" t="n">
        <x:v>10</x:v>
      </x:c>
      <x:c r="M588" t="n">
        <x:v>4005</x:v>
      </x:c>
      <x:c r="N588" t="n">
        <x:v>3381</x:v>
      </x:c>
      <x:c r="O588" t="n">
        <x:v>3213</x:v>
      </x:c>
      <x:c r="P588" t="n">
        <x:v>168</x:v>
      </x:c>
    </x:row>
    <x:row r="589">
      <x:c r="A589" t="n">
        <x:v>588</x:v>
      </x:c>
      <x:c r="B589" t="str">
        <x:v>2026-09-17</x:v>
      </x:c>
      <x:c r="C589" t="str">
        <x:v>L4</x:v>
      </x:c>
      <x:c r="D589" t="str">
        <x:v>Etiquetado</x:v>
      </x:c>
      <x:c r="E589" t="str">
        <x:v>Vespertino</x:v>
      </x:c>
      <x:c r="F589" t="str">
        <x:v>P001</x:v>
      </x:c>
      <x:c r="G589" t="str">
        <x:v>Producto Alfa</x:v>
      </x:c>
      <x:c r="H589" t="n">
        <x:v>480</x:v>
      </x:c>
      <x:c r="I589" t="n">
        <x:v>17</x:v>
      </x:c>
      <x:c r="J589" t="n">
        <x:v>12</x:v>
      </x:c>
      <x:c r="K589" t="n">
        <x:v>451</x:v>
      </x:c>
      <x:c r="L589" t="n">
        <x:v>10</x:v>
      </x:c>
      <x:c r="M589" t="n">
        <x:v>4167</x:v>
      </x:c>
      <x:c r="N589" t="n">
        <x:v>4192</x:v>
      </x:c>
      <x:c r="O589" t="n">
        <x:v>4007</x:v>
      </x:c>
      <x:c r="P589" t="n">
        <x:v>185</x:v>
      </x:c>
    </x:row>
    <x:row r="590">
      <x:c r="A590" t="n">
        <x:v>589</x:v>
      </x:c>
      <x:c r="B590" t="str">
        <x:v>2026-09-18</x:v>
      </x:c>
      <x:c r="C590" t="str">
        <x:v>L1</x:v>
      </x:c>
      <x:c r="D590" t="str">
        <x:v>Envasado A</x:v>
      </x:c>
      <x:c r="E590" t="str">
        <x:v>Matutino</x:v>
      </x:c>
      <x:c r="F590" t="str">
        <x:v>P001</x:v>
      </x:c>
      <x:c r="G590" t="str">
        <x:v>Producto Alfa</x:v>
      </x:c>
      <x:c r="H590" t="n">
        <x:v>480</x:v>
      </x:c>
      <x:c r="I590" t="n">
        <x:v>33</x:v>
      </x:c>
      <x:c r="J590" t="n">
        <x:v>25</x:v>
      </x:c>
      <x:c r="K590" t="n">
        <x:v>422</x:v>
      </x:c>
      <x:c r="L590" t="n">
        <x:v>8</x:v>
      </x:c>
      <x:c r="M590" t="n">
        <x:v>3218</x:v>
      </x:c>
      <x:c r="N590" t="n">
        <x:v>2931</x:v>
      </x:c>
      <x:c r="O590" t="n">
        <x:v>2757</x:v>
      </x:c>
      <x:c r="P590" t="n">
        <x:v>174</x:v>
      </x:c>
    </x:row>
    <x:row r="591">
      <x:c r="A591" t="n">
        <x:v>590</x:v>
      </x:c>
      <x:c r="B591" t="str">
        <x:v>2026-09-18</x:v>
      </x:c>
      <x:c r="C591" t="str">
        <x:v>L1</x:v>
      </x:c>
      <x:c r="D591" t="str">
        <x:v>Envasado A</x:v>
      </x:c>
      <x:c r="E591" t="str">
        <x:v>Vespertino</x:v>
      </x:c>
      <x:c r="F591" t="str">
        <x:v>P001</x:v>
      </x:c>
      <x:c r="G591" t="str">
        <x:v>Producto Alfa</x:v>
      </x:c>
      <x:c r="H591" t="n">
        <x:v>480</x:v>
      </x:c>
      <x:c r="I591" t="n">
        <x:v>23</x:v>
      </x:c>
      <x:c r="J591" t="n">
        <x:v>44</x:v>
      </x:c>
      <x:c r="K591" t="n">
        <x:v>413</x:v>
      </x:c>
      <x:c r="L591" t="n">
        <x:v>8</x:v>
      </x:c>
      <x:c r="M591" t="n">
        <x:v>3290</x:v>
      </x:c>
      <x:c r="N591" t="n">
        <x:v>2937</x:v>
      </x:c>
      <x:c r="O591" t="n">
        <x:v>2798</x:v>
      </x:c>
      <x:c r="P591" t="n">
        <x:v>139</x:v>
      </x:c>
    </x:row>
    <x:row r="592">
      <x:c r="A592" t="n">
        <x:v>591</x:v>
      </x:c>
      <x:c r="B592" t="str">
        <x:v>2026-09-18</x:v>
      </x:c>
      <x:c r="C592" t="str">
        <x:v>L2</x:v>
      </x:c>
      <x:c r="D592" t="str">
        <x:v>Envasado B</x:v>
      </x:c>
      <x:c r="E592" t="str">
        <x:v>Matutino</x:v>
      </x:c>
      <x:c r="F592" t="str">
        <x:v>P003</x:v>
      </x:c>
      <x:c r="G592" t="str">
        <x:v>Producto Gamma</x:v>
      </x:c>
      <x:c r="H592" t="n">
        <x:v>480</x:v>
      </x:c>
      <x:c r="I592" t="n">
        <x:v>34</x:v>
      </x:c>
      <x:c r="J592" t="n">
        <x:v>24</x:v>
      </x:c>
      <x:c r="K592" t="n">
        <x:v>422</x:v>
      </x:c>
      <x:c r="L592" t="n">
        <x:v>7.5</x:v>
      </x:c>
      <x:c r="M592" t="n">
        <x:v>3010</x:v>
      </x:c>
      <x:c r="N592" t="n">
        <x:v>2765</x:v>
      </x:c>
      <x:c r="O592" t="n">
        <x:v>2633</x:v>
      </x:c>
      <x:c r="P592" t="n">
        <x:v>132</x:v>
      </x:c>
    </x:row>
    <x:row r="593">
      <x:c r="A593" t="n">
        <x:v>592</x:v>
      </x:c>
      <x:c r="B593" t="str">
        <x:v>2026-09-18</x:v>
      </x:c>
      <x:c r="C593" t="str">
        <x:v>L2</x:v>
      </x:c>
      <x:c r="D593" t="str">
        <x:v>Envasado B</x:v>
      </x:c>
      <x:c r="E593" t="str">
        <x:v>Vespertino</x:v>
      </x:c>
      <x:c r="F593" t="str">
        <x:v>P003</x:v>
      </x:c>
      <x:c r="G593" t="str">
        <x:v>Producto Gamma</x:v>
      </x:c>
      <x:c r="H593" t="n">
        <x:v>480</x:v>
      </x:c>
      <x:c r="I593" t="n">
        <x:v>24</x:v>
      </x:c>
      <x:c r="J593" t="n">
        <x:v>26</x:v>
      </x:c>
      <x:c r="K593" t="n">
        <x:v>430</x:v>
      </x:c>
      <x:c r="L593" t="n">
        <x:v>7.5</x:v>
      </x:c>
      <x:c r="M593" t="n">
        <x:v>3078</x:v>
      </x:c>
      <x:c r="N593" t="n">
        <x:v>2989</x:v>
      </x:c>
      <x:c r="O593" t="n">
        <x:v>2886</x:v>
      </x:c>
      <x:c r="P593" t="n">
        <x:v>103</x:v>
      </x:c>
    </x:row>
    <x:row r="594">
      <x:c r="A594" t="n">
        <x:v>593</x:v>
      </x:c>
      <x:c r="B594" t="str">
        <x:v>2026-09-18</x:v>
      </x:c>
      <x:c r="C594" t="str">
        <x:v>L3</x:v>
      </x:c>
      <x:c r="D594" t="str">
        <x:v>Empaque</x:v>
      </x:c>
      <x:c r="E594" t="str">
        <x:v>Matutino</x:v>
      </x:c>
      <x:c r="F594" t="str">
        <x:v>P001</x:v>
      </x:c>
      <x:c r="G594" t="str">
        <x:v>Producto Alfa</x:v>
      </x:c>
      <x:c r="H594" t="n">
        <x:v>480</x:v>
      </x:c>
      <x:c r="I594" t="n">
        <x:v>27</x:v>
      </x:c>
      <x:c r="J594" t="n">
        <x:v>25</x:v>
      </x:c>
      <x:c r="K594" t="n">
        <x:v>428</x:v>
      </x:c>
      <x:c r="L594" t="n">
        <x:v>8.67</x:v>
      </x:c>
      <x:c r="M594" t="n">
        <x:v>3533</x:v>
      </x:c>
      <x:c r="N594" t="n">
        <x:v>3429</x:v>
      </x:c>
      <x:c r="O594" t="n">
        <x:v>3373</x:v>
      </x:c>
      <x:c r="P594" t="n">
        <x:v>56</x:v>
      </x:c>
    </x:row>
    <x:row r="595">
      <x:c r="A595" t="n">
        <x:v>594</x:v>
      </x:c>
      <x:c r="B595" t="str">
        <x:v>2026-09-18</x:v>
      </x:c>
      <x:c r="C595" t="str">
        <x:v>L3</x:v>
      </x:c>
      <x:c r="D595" t="str">
        <x:v>Empaque</x:v>
      </x:c>
      <x:c r="E595" t="str">
        <x:v>Vespertino</x:v>
      </x:c>
      <x:c r="F595" t="str">
        <x:v>P002</x:v>
      </x:c>
      <x:c r="G595" t="str">
        <x:v>Producto Beta</x:v>
      </x:c>
      <x:c r="H595" t="n">
        <x:v>480</x:v>
      </x:c>
      <x:c r="I595" t="n">
        <x:v>27</x:v>
      </x:c>
      <x:c r="J595" t="n">
        <x:v>0</x:v>
      </x:c>
      <x:c r="K595" t="n">
        <x:v>453</x:v>
      </x:c>
      <x:c r="L595" t="n">
        <x:v>8.67</x:v>
      </x:c>
      <x:c r="M595" t="n">
        <x:v>3533</x:v>
      </x:c>
      <x:c r="N595" t="n">
        <x:v>3730</x:v>
      </x:c>
      <x:c r="O595" t="n">
        <x:v>3540</x:v>
      </x:c>
      <x:c r="P595" t="n">
        <x:v>190</x:v>
      </x:c>
    </x:row>
    <x:row r="596">
      <x:c r="A596" t="n">
        <x:v>595</x:v>
      </x:c>
      <x:c r="B596" t="str">
        <x:v>2026-09-18</x:v>
      </x:c>
      <x:c r="C596" t="str">
        <x:v>L4</x:v>
      </x:c>
      <x:c r="D596" t="str">
        <x:v>Etiquetado</x:v>
      </x:c>
      <x:c r="E596" t="str">
        <x:v>Matutino</x:v>
      </x:c>
      <x:c r="F596" t="str">
        <x:v>P003</x:v>
      </x:c>
      <x:c r="G596" t="str">
        <x:v>Producto Gamma</x:v>
      </x:c>
      <x:c r="H596" t="n">
        <x:v>480</x:v>
      </x:c>
      <x:c r="I596" t="n">
        <x:v>17</x:v>
      </x:c>
      <x:c r="J596" t="n">
        <x:v>0</x:v>
      </x:c>
      <x:c r="K596" t="n">
        <x:v>463</x:v>
      </x:c>
      <x:c r="L596" t="n">
        <x:v>10</x:v>
      </x:c>
      <x:c r="M596" t="n">
        <x:v>4167</x:v>
      </x:c>
      <x:c r="N596" t="n">
        <x:v>4111</x:v>
      </x:c>
      <x:c r="O596" t="n">
        <x:v>4020</x:v>
      </x:c>
      <x:c r="P596" t="n">
        <x:v>91</x:v>
      </x:c>
    </x:row>
    <x:row r="597">
      <x:c r="A597" t="n">
        <x:v>596</x:v>
      </x:c>
      <x:c r="B597" t="str">
        <x:v>2026-09-18</x:v>
      </x:c>
      <x:c r="C597" t="str">
        <x:v>L4</x:v>
      </x:c>
      <x:c r="D597" t="str">
        <x:v>Etiquetado</x:v>
      </x:c>
      <x:c r="E597" t="str">
        <x:v>Vespertino</x:v>
      </x:c>
      <x:c r="F597" t="str">
        <x:v>P001</x:v>
      </x:c>
      <x:c r="G597" t="str">
        <x:v>Producto Alfa</x:v>
      </x:c>
      <x:c r="H597" t="n">
        <x:v>480</x:v>
      </x:c>
      <x:c r="I597" t="n">
        <x:v>27</x:v>
      </x:c>
      <x:c r="J597" t="n">
        <x:v>23</x:v>
      </x:c>
      <x:c r="K597" t="n">
        <x:v>430</x:v>
      </x:c>
      <x:c r="L597" t="n">
        <x:v>10</x:v>
      </x:c>
      <x:c r="M597" t="n">
        <x:v>4077</x:v>
      </x:c>
      <x:c r="N597" t="n">
        <x:v>4073</x:v>
      </x:c>
      <x:c r="O597" t="n">
        <x:v>3861</x:v>
      </x:c>
      <x:c r="P597" t="n">
        <x:v>212</x:v>
      </x:c>
    </x:row>
    <x:row r="598">
      <x:c r="A598" t="n">
        <x:v>597</x:v>
      </x:c>
      <x:c r="B598" t="str">
        <x:v>2026-09-19</x:v>
      </x:c>
      <x:c r="C598" t="str">
        <x:v>L1</x:v>
      </x:c>
      <x:c r="D598" t="str">
        <x:v>Envasado A</x:v>
      </x:c>
      <x:c r="E598" t="str">
        <x:v>Matutino</x:v>
      </x:c>
      <x:c r="F598" t="str">
        <x:v>P002</x:v>
      </x:c>
      <x:c r="G598" t="str">
        <x:v>Producto Beta</x:v>
      </x:c>
      <x:c r="H598" t="n">
        <x:v>480</x:v>
      </x:c>
      <x:c r="I598" t="n">
        <x:v>32</x:v>
      </x:c>
      <x:c r="J598" t="n">
        <x:v>12</x:v>
      </x:c>
      <x:c r="K598" t="n">
        <x:v>436</x:v>
      </x:c>
      <x:c r="L598" t="n">
        <x:v>8</x:v>
      </x:c>
      <x:c r="M598" t="n">
        <x:v>3225</x:v>
      </x:c>
      <x:c r="N598" t="n">
        <x:v>2931</x:v>
      </x:c>
      <x:c r="O598" t="n">
        <x:v>2813</x:v>
      </x:c>
      <x:c r="P598" t="n">
        <x:v>118</x:v>
      </x:c>
    </x:row>
    <x:row r="599">
      <x:c r="A599" t="n">
        <x:v>598</x:v>
      </x:c>
      <x:c r="B599" t="str">
        <x:v>2026-09-19</x:v>
      </x:c>
      <x:c r="C599" t="str">
        <x:v>L1</x:v>
      </x:c>
      <x:c r="D599" t="str">
        <x:v>Envasado A</x:v>
      </x:c>
      <x:c r="E599" t="str">
        <x:v>Vespertino</x:v>
      </x:c>
      <x:c r="F599" t="str">
        <x:v>P001</x:v>
      </x:c>
      <x:c r="G599" t="str">
        <x:v>Producto Alfa</x:v>
      </x:c>
      <x:c r="H599" t="n">
        <x:v>480</x:v>
      </x:c>
      <x:c r="I599" t="n">
        <x:v>33</x:v>
      </x:c>
      <x:c r="J599" t="n">
        <x:v>17</x:v>
      </x:c>
      <x:c r="K599" t="n">
        <x:v>430</x:v>
      </x:c>
      <x:c r="L599" t="n">
        <x:v>8</x:v>
      </x:c>
      <x:c r="M599" t="n">
        <x:v>3218</x:v>
      </x:c>
      <x:c r="N599" t="n">
        <x:v>3240</x:v>
      </x:c>
      <x:c r="O599" t="n">
        <x:v>3122</x:v>
      </x:c>
      <x:c r="P599" t="n">
        <x:v>118</x:v>
      </x:c>
    </x:row>
    <x:row r="600">
      <x:c r="A600" t="n">
        <x:v>599</x:v>
      </x:c>
      <x:c r="B600" t="str">
        <x:v>2026-09-19</x:v>
      </x:c>
      <x:c r="C600" t="str">
        <x:v>L2</x:v>
      </x:c>
      <x:c r="D600" t="str">
        <x:v>Envasado B</x:v>
      </x:c>
      <x:c r="E600" t="str">
        <x:v>Matutino</x:v>
      </x:c>
      <x:c r="F600" t="str">
        <x:v>P001</x:v>
      </x:c>
      <x:c r="G600" t="str">
        <x:v>Producto Alfa</x:v>
      </x:c>
      <x:c r="H600" t="n">
        <x:v>480</x:v>
      </x:c>
      <x:c r="I600" t="n">
        <x:v>16</x:v>
      </x:c>
      <x:c r="J600" t="n">
        <x:v>49</x:v>
      </x:c>
      <x:c r="K600" t="n">
        <x:v>415</x:v>
      </x:c>
      <x:c r="L600" t="n">
        <x:v>7.5</x:v>
      </x:c>
      <x:c r="M600" t="n">
        <x:v>3132</x:v>
      </x:c>
      <x:c r="N600" t="n">
        <x:v>2787</x:v>
      </x:c>
      <x:c r="O600" t="n">
        <x:v>2663</x:v>
      </x:c>
      <x:c r="P600" t="n">
        <x:v>124</x:v>
      </x:c>
    </x:row>
    <x:row r="601">
      <x:c r="A601" t="n">
        <x:v>600</x:v>
      </x:c>
      <x:c r="B601" t="str">
        <x:v>2026-09-19</x:v>
      </x:c>
      <x:c r="C601" t="str">
        <x:v>L2</x:v>
      </x:c>
      <x:c r="D601" t="str">
        <x:v>Envasado B</x:v>
      </x:c>
      <x:c r="E601" t="str">
        <x:v>Vespertino</x:v>
      </x:c>
      <x:c r="F601" t="str">
        <x:v>P002</x:v>
      </x:c>
      <x:c r="G601" t="str">
        <x:v>Producto Beta</x:v>
      </x:c>
      <x:c r="H601" t="n">
        <x:v>480</x:v>
      </x:c>
      <x:c r="I601" t="n">
        <x:v>28</x:v>
      </x:c>
      <x:c r="J601" t="n">
        <x:v>61</x:v>
      </x:c>
      <x:c r="K601" t="n">
        <x:v>391</x:v>
      </x:c>
      <x:c r="L601" t="n">
        <x:v>7.5</x:v>
      </x:c>
      <x:c r="M601" t="n">
        <x:v>3051</x:v>
      </x:c>
      <x:c r="N601" t="n">
        <x:v>2652</x:v>
      </x:c>
      <x:c r="O601" t="n">
        <x:v>2480</x:v>
      </x:c>
      <x:c r="P601" t="n">
        <x:v>172</x:v>
      </x:c>
    </x:row>
    <x:row r="602">
      <x:c r="A602" t="n">
        <x:v>601</x:v>
      </x:c>
      <x:c r="B602" t="str">
        <x:v>2026-09-19</x:v>
      </x:c>
      <x:c r="C602" t="str">
        <x:v>L3</x:v>
      </x:c>
      <x:c r="D602" t="str">
        <x:v>Empaque</x:v>
      </x:c>
      <x:c r="E602" t="str">
        <x:v>Matutino</x:v>
      </x:c>
      <x:c r="F602" t="str">
        <x:v>P003</x:v>
      </x:c>
      <x:c r="G602" t="str">
        <x:v>Producto Gamma</x:v>
      </x:c>
      <x:c r="H602" t="n">
        <x:v>480</x:v>
      </x:c>
      <x:c r="I602" t="n">
        <x:v>32</x:v>
      </x:c>
      <x:c r="J602" t="n">
        <x:v>14</x:v>
      </x:c>
      <x:c r="K602" t="n">
        <x:v>434</x:v>
      </x:c>
      <x:c r="L602" t="n">
        <x:v>8.67</x:v>
      </x:c>
      <x:c r="M602" t="n">
        <x:v>3494</x:v>
      </x:c>
      <x:c r="N602" t="n">
        <x:v>3331</x:v>
      </x:c>
      <x:c r="O602" t="n">
        <x:v>3146</x:v>
      </x:c>
      <x:c r="P602" t="n">
        <x:v>185</x:v>
      </x:c>
    </x:row>
    <x:row r="603">
      <x:c r="A603" t="n">
        <x:v>602</x:v>
      </x:c>
      <x:c r="B603" t="str">
        <x:v>2026-09-19</x:v>
      </x:c>
      <x:c r="C603" t="str">
        <x:v>L3</x:v>
      </x:c>
      <x:c r="D603" t="str">
        <x:v>Empaque</x:v>
      </x:c>
      <x:c r="E603" t="str">
        <x:v>Vespertino</x:v>
      </x:c>
      <x:c r="F603" t="str">
        <x:v>P001</x:v>
      </x:c>
      <x:c r="G603" t="str">
        <x:v>Producto Alfa</x:v>
      </x:c>
      <x:c r="H603" t="n">
        <x:v>480</x:v>
      </x:c>
      <x:c r="I603" t="n">
        <x:v>19</x:v>
      </x:c>
      <x:c r="J603" t="n">
        <x:v>52</x:v>
      </x:c>
      <x:c r="K603" t="n">
        <x:v>409</x:v>
      </x:c>
      <x:c r="L603" t="n">
        <x:v>8.67</x:v>
      </x:c>
      <x:c r="M603" t="n">
        <x:v>3595</x:v>
      </x:c>
      <x:c r="N603" t="n">
        <x:v>3070</x:v>
      </x:c>
      <x:c r="O603" t="n">
        <x:v>2938</x:v>
      </x:c>
      <x:c r="P603" t="n">
        <x:v>132</x:v>
      </x:c>
    </x:row>
    <x:row r="604">
      <x:c r="A604" t="n">
        <x:v>603</x:v>
      </x:c>
      <x:c r="B604" t="str">
        <x:v>2026-09-19</x:v>
      </x:c>
      <x:c r="C604" t="str">
        <x:v>L4</x:v>
      </x:c>
      <x:c r="D604" t="str">
        <x:v>Etiquetado</x:v>
      </x:c>
      <x:c r="E604" t="str">
        <x:v>Matutino</x:v>
      </x:c>
      <x:c r="F604" t="str">
        <x:v>P003</x:v>
      </x:c>
      <x:c r="G604" t="str">
        <x:v>Producto Gamma</x:v>
      </x:c>
      <x:c r="H604" t="n">
        <x:v>480</x:v>
      </x:c>
      <x:c r="I604" t="n">
        <x:v>35</x:v>
      </x:c>
      <x:c r="J604" t="n">
        <x:v>24</x:v>
      </x:c>
      <x:c r="K604" t="n">
        <x:v>421</x:v>
      </x:c>
      <x:c r="L604" t="n">
        <x:v>10</x:v>
      </x:c>
      <x:c r="M604" t="n">
        <x:v>4005</x:v>
      </x:c>
      <x:c r="N604" t="n">
        <x:v>3767</x:v>
      </x:c>
      <x:c r="O604" t="n">
        <x:v>3555</x:v>
      </x:c>
      <x:c r="P604" t="n">
        <x:v>212</x:v>
      </x:c>
    </x:row>
    <x:row r="605">
      <x:c r="A605" t="n">
        <x:v>604</x:v>
      </x:c>
      <x:c r="B605" t="str">
        <x:v>2026-09-19</x:v>
      </x:c>
      <x:c r="C605" t="str">
        <x:v>L4</x:v>
      </x:c>
      <x:c r="D605" t="str">
        <x:v>Etiquetado</x:v>
      </x:c>
      <x:c r="E605" t="str">
        <x:v>Vespertino</x:v>
      </x:c>
      <x:c r="F605" t="str">
        <x:v>P001</x:v>
      </x:c>
      <x:c r="G605" t="str">
        <x:v>Producto Alfa</x:v>
      </x:c>
      <x:c r="H605" t="n">
        <x:v>480</x:v>
      </x:c>
      <x:c r="I605" t="n">
        <x:v>16</x:v>
      </x:c>
      <x:c r="J605" t="n">
        <x:v>0</x:v>
      </x:c>
      <x:c r="K605" t="n">
        <x:v>464</x:v>
      </x:c>
      <x:c r="L605" t="n">
        <x:v>10</x:v>
      </x:c>
      <x:c r="M605" t="n">
        <x:v>4176</x:v>
      </x:c>
      <x:c r="N605" t="n">
        <x:v>4238</x:v>
      </x:c>
      <x:c r="O605" t="n">
        <x:v>4184</x:v>
      </x:c>
      <x:c r="P605" t="n">
        <x:v>54</x:v>
      </x:c>
    </x:row>
    <x:row r="606">
      <x:c r="A606" t="n">
        <x:v>605</x:v>
      </x:c>
      <x:c r="B606" t="str">
        <x:v>2026-09-20</x:v>
      </x:c>
      <x:c r="C606" t="str">
        <x:v>L1</x:v>
      </x:c>
      <x:c r="D606" t="str">
        <x:v>Envasado A</x:v>
      </x:c>
      <x:c r="E606" t="str">
        <x:v>Matutino</x:v>
      </x:c>
      <x:c r="F606" t="str">
        <x:v>P001</x:v>
      </x:c>
      <x:c r="G606" t="str">
        <x:v>Producto Alfa</x:v>
      </x:c>
      <x:c r="H606" t="n">
        <x:v>480</x:v>
      </x:c>
      <x:c r="I606" t="n">
        <x:v>29</x:v>
      </x:c>
      <x:c r="J606" t="n">
        <x:v>22</x:v>
      </x:c>
      <x:c r="K606" t="n">
        <x:v>429</x:v>
      </x:c>
      <x:c r="L606" t="n">
        <x:v>8</x:v>
      </x:c>
      <x:c r="M606" t="n">
        <x:v>3247</x:v>
      </x:c>
      <x:c r="N606" t="n">
        <x:v>3089</x:v>
      </x:c>
      <x:c r="O606" t="n">
        <x:v>2938</x:v>
      </x:c>
      <x:c r="P606" t="n">
        <x:v>151</x:v>
      </x:c>
    </x:row>
    <x:row r="607">
      <x:c r="A607" t="n">
        <x:v>606</x:v>
      </x:c>
      <x:c r="B607" t="str">
        <x:v>2026-09-20</x:v>
      </x:c>
      <x:c r="C607" t="str">
        <x:v>L1</x:v>
      </x:c>
      <x:c r="D607" t="str">
        <x:v>Envasado A</x:v>
      </x:c>
      <x:c r="E607" t="str">
        <x:v>Vespertino</x:v>
      </x:c>
      <x:c r="F607" t="str">
        <x:v>P001</x:v>
      </x:c>
      <x:c r="G607" t="str">
        <x:v>Producto Alfa</x:v>
      </x:c>
      <x:c r="H607" t="n">
        <x:v>480</x:v>
      </x:c>
      <x:c r="I607" t="n">
        <x:v>18</x:v>
      </x:c>
      <x:c r="J607" t="n">
        <x:v>0</x:v>
      </x:c>
      <x:c r="K607" t="n">
        <x:v>462</x:v>
      </x:c>
      <x:c r="L607" t="n">
        <x:v>8</x:v>
      </x:c>
      <x:c r="M607" t="n">
        <x:v>3326</x:v>
      </x:c>
      <x:c r="N607" t="n">
        <x:v>3453</x:v>
      </x:c>
      <x:c r="O607" t="n">
        <x:v>3316</x:v>
      </x:c>
      <x:c r="P607" t="n">
        <x:v>137</x:v>
      </x:c>
    </x:row>
    <x:row r="608">
      <x:c r="A608" t="n">
        <x:v>607</x:v>
      </x:c>
      <x:c r="B608" t="str">
        <x:v>2026-09-20</x:v>
      </x:c>
      <x:c r="C608" t="str">
        <x:v>L2</x:v>
      </x:c>
      <x:c r="D608" t="str">
        <x:v>Envasado B</x:v>
      </x:c>
      <x:c r="E608" t="str">
        <x:v>Matutino</x:v>
      </x:c>
      <x:c r="F608" t="str">
        <x:v>P001</x:v>
      </x:c>
      <x:c r="G608" t="str">
        <x:v>Producto Alfa</x:v>
      </x:c>
      <x:c r="H608" t="n">
        <x:v>480</x:v>
      </x:c>
      <x:c r="I608" t="n">
        <x:v>20</x:v>
      </x:c>
      <x:c r="J608" t="n">
        <x:v>7</x:v>
      </x:c>
      <x:c r="K608" t="n">
        <x:v>453</x:v>
      </x:c>
      <x:c r="L608" t="n">
        <x:v>7.5</x:v>
      </x:c>
      <x:c r="M608" t="n">
        <x:v>3105</x:v>
      </x:c>
      <x:c r="N608" t="n">
        <x:v>3094</x:v>
      </x:c>
      <x:c r="O608" t="n">
        <x:v>2901</x:v>
      </x:c>
      <x:c r="P608" t="n">
        <x:v>193</x:v>
      </x:c>
    </x:row>
    <x:row r="609">
      <x:c r="A609" t="n">
        <x:v>608</x:v>
      </x:c>
      <x:c r="B609" t="str">
        <x:v>2026-09-20</x:v>
      </x:c>
      <x:c r="C609" t="str">
        <x:v>L2</x:v>
      </x:c>
      <x:c r="D609" t="str">
        <x:v>Envasado B</x:v>
      </x:c>
      <x:c r="E609" t="str">
        <x:v>Vespertino</x:v>
      </x:c>
      <x:c r="F609" t="str">
        <x:v>P002</x:v>
      </x:c>
      <x:c r="G609" t="str">
        <x:v>Producto Beta</x:v>
      </x:c>
      <x:c r="H609" t="n">
        <x:v>480</x:v>
      </x:c>
      <x:c r="I609" t="n">
        <x:v>20</x:v>
      </x:c>
      <x:c r="J609" t="n">
        <x:v>23</x:v>
      </x:c>
      <x:c r="K609" t="n">
        <x:v>437</x:v>
      </x:c>
      <x:c r="L609" t="n">
        <x:v>7.5</x:v>
      </x:c>
      <x:c r="M609" t="n">
        <x:v>3105</x:v>
      </x:c>
      <x:c r="N609" t="n">
        <x:v>2812</x:v>
      </x:c>
      <x:c r="O609" t="n">
        <x:v>2683</x:v>
      </x:c>
      <x:c r="P609" t="n">
        <x:v>129</x:v>
      </x:c>
    </x:row>
    <x:row r="610">
      <x:c r="A610" t="n">
        <x:v>609</x:v>
      </x:c>
      <x:c r="B610" t="str">
        <x:v>2026-09-21</x:v>
      </x:c>
      <x:c r="C610" t="str">
        <x:v>L1</x:v>
      </x:c>
      <x:c r="D610" t="str">
        <x:v>Envasado A</x:v>
      </x:c>
      <x:c r="E610" t="str">
        <x:v>Matutino</x:v>
      </x:c>
      <x:c r="F610" t="str">
        <x:v>P002</x:v>
      </x:c>
      <x:c r="G610" t="str">
        <x:v>Producto Beta</x:v>
      </x:c>
      <x:c r="H610" t="n">
        <x:v>480</x:v>
      </x:c>
      <x:c r="I610" t="n">
        <x:v>18</x:v>
      </x:c>
      <x:c r="J610" t="n">
        <x:v>28</x:v>
      </x:c>
      <x:c r="K610" t="n">
        <x:v>434</x:v>
      </x:c>
      <x:c r="L610" t="n">
        <x:v>8</x:v>
      </x:c>
      <x:c r="M610" t="n">
        <x:v>3326</x:v>
      </x:c>
      <x:c r="N610" t="n">
        <x:v>3121</x:v>
      </x:c>
      <x:c r="O610" t="n">
        <x:v>2944</x:v>
      </x:c>
      <x:c r="P610" t="n">
        <x:v>177</x:v>
      </x:c>
    </x:row>
    <x:row r="611">
      <x:c r="A611" t="n">
        <x:v>610</x:v>
      </x:c>
      <x:c r="B611" t="str">
        <x:v>2026-09-21</x:v>
      </x:c>
      <x:c r="C611" t="str">
        <x:v>L1</x:v>
      </x:c>
      <x:c r="D611" t="str">
        <x:v>Envasado A</x:v>
      </x:c>
      <x:c r="E611" t="str">
        <x:v>Vespertino</x:v>
      </x:c>
      <x:c r="F611" t="str">
        <x:v>P001</x:v>
      </x:c>
      <x:c r="G611" t="str">
        <x:v>Producto Alfa</x:v>
      </x:c>
      <x:c r="H611" t="n">
        <x:v>480</x:v>
      </x:c>
      <x:c r="I611" t="n">
        <x:v>23</x:v>
      </x:c>
      <x:c r="J611" t="n">
        <x:v>11</x:v>
      </x:c>
      <x:c r="K611" t="n">
        <x:v>446</x:v>
      </x:c>
      <x:c r="L611" t="n">
        <x:v>8</x:v>
      </x:c>
      <x:c r="M611" t="n">
        <x:v>3290</x:v>
      </x:c>
      <x:c r="N611" t="n">
        <x:v>3197</x:v>
      </x:c>
      <x:c r="O611" t="n">
        <x:v>3020</x:v>
      </x:c>
      <x:c r="P611" t="n">
        <x:v>177</x:v>
      </x:c>
    </x:row>
    <x:row r="612">
      <x:c r="A612" t="n">
        <x:v>611</x:v>
      </x:c>
      <x:c r="B612" t="str">
        <x:v>2026-09-21</x:v>
      </x:c>
      <x:c r="C612" t="str">
        <x:v>L2</x:v>
      </x:c>
      <x:c r="D612" t="str">
        <x:v>Envasado B</x:v>
      </x:c>
      <x:c r="E612" t="str">
        <x:v>Matutino</x:v>
      </x:c>
      <x:c r="F612" t="str">
        <x:v>P001</x:v>
      </x:c>
      <x:c r="G612" t="str">
        <x:v>Producto Alfa</x:v>
      </x:c>
      <x:c r="H612" t="n">
        <x:v>480</x:v>
      </x:c>
      <x:c r="I612" t="n">
        <x:v>30</x:v>
      </x:c>
      <x:c r="J612" t="n">
        <x:v>8</x:v>
      </x:c>
      <x:c r="K612" t="n">
        <x:v>442</x:v>
      </x:c>
      <x:c r="L612" t="n">
        <x:v>7.5</x:v>
      </x:c>
      <x:c r="M612" t="n">
        <x:v>3037</x:v>
      </x:c>
      <x:c r="N612" t="n">
        <x:v>3055</x:v>
      </x:c>
      <x:c r="O612" t="n">
        <x:v>2885</x:v>
      </x:c>
      <x:c r="P612" t="n">
        <x:v>170</x:v>
      </x:c>
    </x:row>
    <x:row r="613">
      <x:c r="A613" t="n">
        <x:v>612</x:v>
      </x:c>
      <x:c r="B613" t="str">
        <x:v>2026-09-21</x:v>
      </x:c>
      <x:c r="C613" t="str">
        <x:v>L2</x:v>
      </x:c>
      <x:c r="D613" t="str">
        <x:v>Envasado B</x:v>
      </x:c>
      <x:c r="E613" t="str">
        <x:v>Vespertino</x:v>
      </x:c>
      <x:c r="F613" t="str">
        <x:v>P002</x:v>
      </x:c>
      <x:c r="G613" t="str">
        <x:v>Producto Beta</x:v>
      </x:c>
      <x:c r="H613" t="n">
        <x:v>480</x:v>
      </x:c>
      <x:c r="I613" t="n">
        <x:v>20</x:v>
      </x:c>
      <x:c r="J613" t="n">
        <x:v>28</x:v>
      </x:c>
      <x:c r="K613" t="n">
        <x:v>432</x:v>
      </x:c>
      <x:c r="L613" t="n">
        <x:v>7.5</x:v>
      </x:c>
      <x:c r="M613" t="n">
        <x:v>3105</x:v>
      </x:c>
      <x:c r="N613" t="n">
        <x:v>2946</x:v>
      </x:c>
      <x:c r="O613" t="n">
        <x:v>2785</x:v>
      </x:c>
      <x:c r="P613" t="n">
        <x:v>161</x:v>
      </x:c>
    </x:row>
    <x:row r="614">
      <x:c r="A614" t="n">
        <x:v>613</x:v>
      </x:c>
      <x:c r="B614" t="str">
        <x:v>2026-09-21</x:v>
      </x:c>
      <x:c r="C614" t="str">
        <x:v>L3</x:v>
      </x:c>
      <x:c r="D614" t="str">
        <x:v>Empaque</x:v>
      </x:c>
      <x:c r="E614" t="str">
        <x:v>Matutino</x:v>
      </x:c>
      <x:c r="F614" t="str">
        <x:v>P003</x:v>
      </x:c>
      <x:c r="G614" t="str">
        <x:v>Producto Gamma</x:v>
      </x:c>
      <x:c r="H614" t="n">
        <x:v>480</x:v>
      </x:c>
      <x:c r="I614" t="n">
        <x:v>18</x:v>
      </x:c>
      <x:c r="J614" t="n">
        <x:v>31</x:v>
      </x:c>
      <x:c r="K614" t="n">
        <x:v>431</x:v>
      </x:c>
      <x:c r="L614" t="n">
        <x:v>8.67</x:v>
      </x:c>
      <x:c r="M614" t="n">
        <x:v>3603</x:v>
      </x:c>
      <x:c r="N614" t="n">
        <x:v>3597</x:v>
      </x:c>
      <x:c r="O614" t="n">
        <x:v>3499</x:v>
      </x:c>
      <x:c r="P614" t="n">
        <x:v>98</x:v>
      </x:c>
    </x:row>
    <x:row r="615">
      <x:c r="A615" t="n">
        <x:v>614</x:v>
      </x:c>
      <x:c r="B615" t="str">
        <x:v>2026-09-21</x:v>
      </x:c>
      <x:c r="C615" t="str">
        <x:v>L3</x:v>
      </x:c>
      <x:c r="D615" t="str">
        <x:v>Empaque</x:v>
      </x:c>
      <x:c r="E615" t="str">
        <x:v>Vespertino</x:v>
      </x:c>
      <x:c r="F615" t="str">
        <x:v>P001</x:v>
      </x:c>
      <x:c r="G615" t="str">
        <x:v>Producto Alfa</x:v>
      </x:c>
      <x:c r="H615" t="n">
        <x:v>480</x:v>
      </x:c>
      <x:c r="I615" t="n">
        <x:v>16</x:v>
      </x:c>
      <x:c r="J615" t="n">
        <x:v>39</x:v>
      </x:c>
      <x:c r="K615" t="n">
        <x:v>425</x:v>
      </x:c>
      <x:c r="L615" t="n">
        <x:v>8.67</x:v>
      </x:c>
      <x:c r="M615" t="n">
        <x:v>3619</x:v>
      </x:c>
      <x:c r="N615" t="n">
        <x:v>3191</x:v>
      </x:c>
      <x:c r="O615" t="n">
        <x:v>3070</x:v>
      </x:c>
      <x:c r="P615" t="n">
        <x:v>121</x:v>
      </x:c>
    </x:row>
    <x:row r="616">
      <x:c r="A616" t="n">
        <x:v>615</x:v>
      </x:c>
      <x:c r="B616" t="str">
        <x:v>2026-09-21</x:v>
      </x:c>
      <x:c r="C616" t="str">
        <x:v>L4</x:v>
      </x:c>
      <x:c r="D616" t="str">
        <x:v>Etiquetado</x:v>
      </x:c>
      <x:c r="E616" t="str">
        <x:v>Matutino</x:v>
      </x:c>
      <x:c r="F616" t="str">
        <x:v>P001</x:v>
      </x:c>
      <x:c r="G616" t="str">
        <x:v>Producto Alfa</x:v>
      </x:c>
      <x:c r="H616" t="n">
        <x:v>480</x:v>
      </x:c>
      <x:c r="I616" t="n">
        <x:v>20</x:v>
      </x:c>
      <x:c r="J616" t="n">
        <x:v>67</x:v>
      </x:c>
      <x:c r="K616" t="n">
        <x:v>393</x:v>
      </x:c>
      <x:c r="L616" t="n">
        <x:v>10</x:v>
      </x:c>
      <x:c r="M616" t="n">
        <x:v>4140</x:v>
      </x:c>
      <x:c r="N616" t="n">
        <x:v>3429</x:v>
      </x:c>
      <x:c r="O616" t="n">
        <x:v>3205</x:v>
      </x:c>
      <x:c r="P616" t="n">
        <x:v>224</x:v>
      </x:c>
    </x:row>
    <x:row r="617">
      <x:c r="A617" t="n">
        <x:v>616</x:v>
      </x:c>
      <x:c r="B617" t="str">
        <x:v>2026-09-21</x:v>
      </x:c>
      <x:c r="C617" t="str">
        <x:v>L4</x:v>
      </x:c>
      <x:c r="D617" t="str">
        <x:v>Etiquetado</x:v>
      </x:c>
      <x:c r="E617" t="str">
        <x:v>Vespertino</x:v>
      </x:c>
      <x:c r="F617" t="str">
        <x:v>P003</x:v>
      </x:c>
      <x:c r="G617" t="str">
        <x:v>Producto Gamma</x:v>
      </x:c>
      <x:c r="H617" t="n">
        <x:v>480</x:v>
      </x:c>
      <x:c r="I617" t="n">
        <x:v>35</x:v>
      </x:c>
      <x:c r="J617" t="n">
        <x:v>12</x:v>
      </x:c>
      <x:c r="K617" t="n">
        <x:v>433</x:v>
      </x:c>
      <x:c r="L617" t="n">
        <x:v>10</x:v>
      </x:c>
      <x:c r="M617" t="n">
        <x:v>4005</x:v>
      </x:c>
      <x:c r="N617" t="n">
        <x:v>3790</x:v>
      </x:c>
      <x:c r="O617" t="n">
        <x:v>3619</x:v>
      </x:c>
      <x:c r="P617" t="n">
        <x:v>171</x:v>
      </x:c>
    </x:row>
    <x:row r="618">
      <x:c r="A618" t="n">
        <x:v>617</x:v>
      </x:c>
      <x:c r="B618" t="str">
        <x:v>2026-09-22</x:v>
      </x:c>
      <x:c r="C618" t="str">
        <x:v>L1</x:v>
      </x:c>
      <x:c r="D618" t="str">
        <x:v>Envasado A</x:v>
      </x:c>
      <x:c r="E618" t="str">
        <x:v>Matutino</x:v>
      </x:c>
      <x:c r="F618" t="str">
        <x:v>P002</x:v>
      </x:c>
      <x:c r="G618" t="str">
        <x:v>Producto Beta</x:v>
      </x:c>
      <x:c r="H618" t="n">
        <x:v>480</x:v>
      </x:c>
      <x:c r="I618" t="n">
        <x:v>25</x:v>
      </x:c>
      <x:c r="J618" t="n">
        <x:v>26</x:v>
      </x:c>
      <x:c r="K618" t="n">
        <x:v>429</x:v>
      </x:c>
      <x:c r="L618" t="n">
        <x:v>8</x:v>
      </x:c>
      <x:c r="M618" t="n">
        <x:v>3276</x:v>
      </x:c>
      <x:c r="N618" t="n">
        <x:v>3184</x:v>
      </x:c>
      <x:c r="O618" t="n">
        <x:v>2961</x:v>
      </x:c>
      <x:c r="P618" t="n">
        <x:v>223</x:v>
      </x:c>
    </x:row>
    <x:row r="619">
      <x:c r="A619" t="n">
        <x:v>618</x:v>
      </x:c>
      <x:c r="B619" t="str">
        <x:v>2026-09-22</x:v>
      </x:c>
      <x:c r="C619" t="str">
        <x:v>L1</x:v>
      </x:c>
      <x:c r="D619" t="str">
        <x:v>Envasado A</x:v>
      </x:c>
      <x:c r="E619" t="str">
        <x:v>Vespertino</x:v>
      </x:c>
      <x:c r="F619" t="str">
        <x:v>P001</x:v>
      </x:c>
      <x:c r="G619" t="str">
        <x:v>Producto Alfa</x:v>
      </x:c>
      <x:c r="H619" t="n">
        <x:v>480</x:v>
      </x:c>
      <x:c r="I619" t="n">
        <x:v>20</x:v>
      </x:c>
      <x:c r="J619" t="n">
        <x:v>46</x:v>
      </x:c>
      <x:c r="K619" t="n">
        <x:v>414</x:v>
      </x:c>
      <x:c r="L619" t="n">
        <x:v>8</x:v>
      </x:c>
      <x:c r="M619" t="n">
        <x:v>3312</x:v>
      </x:c>
      <x:c r="N619" t="n">
        <x:v>3044</x:v>
      </x:c>
      <x:c r="O619" t="n">
        <x:v>2965</x:v>
      </x:c>
      <x:c r="P619" t="n">
        <x:v>79</x:v>
      </x:c>
    </x:row>
    <x:row r="620">
      <x:c r="A620" t="n">
        <x:v>619</x:v>
      </x:c>
      <x:c r="B620" t="str">
        <x:v>2026-09-22</x:v>
      </x:c>
      <x:c r="C620" t="str">
        <x:v>L2</x:v>
      </x:c>
      <x:c r="D620" t="str">
        <x:v>Envasado B</x:v>
      </x:c>
      <x:c r="E620" t="str">
        <x:v>Matutino</x:v>
      </x:c>
      <x:c r="F620" t="str">
        <x:v>P001</x:v>
      </x:c>
      <x:c r="G620" t="str">
        <x:v>Producto Alfa</x:v>
      </x:c>
      <x:c r="H620" t="n">
        <x:v>480</x:v>
      </x:c>
      <x:c r="I620" t="n">
        <x:v>27</x:v>
      </x:c>
      <x:c r="J620" t="n">
        <x:v>50</x:v>
      </x:c>
      <x:c r="K620" t="n">
        <x:v>403</x:v>
      </x:c>
      <x:c r="L620" t="n">
        <x:v>7.5</x:v>
      </x:c>
      <x:c r="M620" t="n">
        <x:v>3057</x:v>
      </x:c>
      <x:c r="N620" t="n">
        <x:v>2814</x:v>
      </x:c>
      <x:c r="O620" t="n">
        <x:v>2688</x:v>
      </x:c>
      <x:c r="P620" t="n">
        <x:v>126</x:v>
      </x:c>
    </x:row>
    <x:row r="621">
      <x:c r="A621" t="n">
        <x:v>620</x:v>
      </x:c>
      <x:c r="B621" t="str">
        <x:v>2026-09-22</x:v>
      </x:c>
      <x:c r="C621" t="str">
        <x:v>L2</x:v>
      </x:c>
      <x:c r="D621" t="str">
        <x:v>Envasado B</x:v>
      </x:c>
      <x:c r="E621" t="str">
        <x:v>Vespertino</x:v>
      </x:c>
      <x:c r="F621" t="str">
        <x:v>P002</x:v>
      </x:c>
      <x:c r="G621" t="str">
        <x:v>Producto Beta</x:v>
      </x:c>
      <x:c r="H621" t="n">
        <x:v>480</x:v>
      </x:c>
      <x:c r="I621" t="n">
        <x:v>17</x:v>
      </x:c>
      <x:c r="J621" t="n">
        <x:v>69</x:v>
      </x:c>
      <x:c r="K621" t="n">
        <x:v>394</x:v>
      </x:c>
      <x:c r="L621" t="n">
        <x:v>7.5</x:v>
      </x:c>
      <x:c r="M621" t="n">
        <x:v>3125</x:v>
      </x:c>
      <x:c r="N621" t="n">
        <x:v>2673</x:v>
      </x:c>
      <x:c r="O621" t="n">
        <x:v>2511</x:v>
      </x:c>
      <x:c r="P621" t="n">
        <x:v>162</x:v>
      </x:c>
    </x:row>
    <x:row r="622">
      <x:c r="A622" t="n">
        <x:v>621</x:v>
      </x:c>
      <x:c r="B622" t="str">
        <x:v>2026-09-22</x:v>
      </x:c>
      <x:c r="C622" t="str">
        <x:v>L3</x:v>
      </x:c>
      <x:c r="D622" t="str">
        <x:v>Empaque</x:v>
      </x:c>
      <x:c r="E622" t="str">
        <x:v>Matutino</x:v>
      </x:c>
      <x:c r="F622" t="str">
        <x:v>P001</x:v>
      </x:c>
      <x:c r="G622" t="str">
        <x:v>Producto Alfa</x:v>
      </x:c>
      <x:c r="H622" t="n">
        <x:v>480</x:v>
      </x:c>
      <x:c r="I622" t="n">
        <x:v>24</x:v>
      </x:c>
      <x:c r="J622" t="n">
        <x:v>10</x:v>
      </x:c>
      <x:c r="K622" t="n">
        <x:v>446</x:v>
      </x:c>
      <x:c r="L622" t="n">
        <x:v>8.67</x:v>
      </x:c>
      <x:c r="M622" t="n">
        <x:v>3556</x:v>
      </x:c>
      <x:c r="N622" t="n">
        <x:v>3459</x:v>
      </x:c>
      <x:c r="O622" t="n">
        <x:v>3287</x:v>
      </x:c>
      <x:c r="P622" t="n">
        <x:v>172</x:v>
      </x:c>
    </x:row>
    <x:row r="623">
      <x:c r="A623" t="n">
        <x:v>622</x:v>
      </x:c>
      <x:c r="B623" t="str">
        <x:v>2026-09-22</x:v>
      </x:c>
      <x:c r="C623" t="str">
        <x:v>L3</x:v>
      </x:c>
      <x:c r="D623" t="str">
        <x:v>Empaque</x:v>
      </x:c>
      <x:c r="E623" t="str">
        <x:v>Vespertino</x:v>
      </x:c>
      <x:c r="F623" t="str">
        <x:v>P003</x:v>
      </x:c>
      <x:c r="G623" t="str">
        <x:v>Producto Gamma</x:v>
      </x:c>
      <x:c r="H623" t="n">
        <x:v>480</x:v>
      </x:c>
      <x:c r="I623" t="n">
        <x:v>30</x:v>
      </x:c>
      <x:c r="J623" t="n">
        <x:v>10</x:v>
      </x:c>
      <x:c r="K623" t="n">
        <x:v>440</x:v>
      </x:c>
      <x:c r="L623" t="n">
        <x:v>8.67</x:v>
      </x:c>
      <x:c r="M623" t="n">
        <x:v>3509</x:v>
      </x:c>
      <x:c r="N623" t="n">
        <x:v>3766</x:v>
      </x:c>
      <x:c r="O623" t="n">
        <x:v>3576</x:v>
      </x:c>
      <x:c r="P623" t="n">
        <x:v>190</x:v>
      </x:c>
    </x:row>
    <x:row r="624">
      <x:c r="A624" t="n">
        <x:v>623</x:v>
      </x:c>
      <x:c r="B624" t="str">
        <x:v>2026-09-22</x:v>
      </x:c>
      <x:c r="C624" t="str">
        <x:v>L4</x:v>
      </x:c>
      <x:c r="D624" t="str">
        <x:v>Etiquetado</x:v>
      </x:c>
      <x:c r="E624" t="str">
        <x:v>Matutino</x:v>
      </x:c>
      <x:c r="F624" t="str">
        <x:v>P003</x:v>
      </x:c>
      <x:c r="G624" t="str">
        <x:v>Producto Gamma</x:v>
      </x:c>
      <x:c r="H624" t="n">
        <x:v>480</x:v>
      </x:c>
      <x:c r="I624" t="n">
        <x:v>32</x:v>
      </x:c>
      <x:c r="J624" t="n">
        <x:v>29</x:v>
      </x:c>
      <x:c r="K624" t="n">
        <x:v>419</x:v>
      </x:c>
      <x:c r="L624" t="n">
        <x:v>10</x:v>
      </x:c>
      <x:c r="M624" t="n">
        <x:v>4032</x:v>
      </x:c>
      <x:c r="N624" t="n">
        <x:v>3671</x:v>
      </x:c>
      <x:c r="O624" t="n">
        <x:v>3532</x:v>
      </x:c>
      <x:c r="P624" t="n">
        <x:v>139</x:v>
      </x:c>
    </x:row>
    <x:row r="625">
      <x:c r="A625" t="n">
        <x:v>624</x:v>
      </x:c>
      <x:c r="B625" t="str">
        <x:v>2026-09-22</x:v>
      </x:c>
      <x:c r="C625" t="str">
        <x:v>L4</x:v>
      </x:c>
      <x:c r="D625" t="str">
        <x:v>Etiquetado</x:v>
      </x:c>
      <x:c r="E625" t="str">
        <x:v>Vespertino</x:v>
      </x:c>
      <x:c r="F625" t="str">
        <x:v>P001</x:v>
      </x:c>
      <x:c r="G625" t="str">
        <x:v>Producto Alfa</x:v>
      </x:c>
      <x:c r="H625" t="n">
        <x:v>480</x:v>
      </x:c>
      <x:c r="I625" t="n">
        <x:v>32</x:v>
      </x:c>
      <x:c r="J625" t="n">
        <x:v>28</x:v>
      </x:c>
      <x:c r="K625" t="n">
        <x:v>420</x:v>
      </x:c>
      <x:c r="L625" t="n">
        <x:v>10</x:v>
      </x:c>
      <x:c r="M625" t="n">
        <x:v>4032</x:v>
      </x:c>
      <x:c r="N625" t="n">
        <x:v>3616</x:v>
      </x:c>
      <x:c r="O625" t="n">
        <x:v>3539</x:v>
      </x:c>
      <x:c r="P625" t="n">
        <x:v>77</x:v>
      </x:c>
    </x:row>
    <x:row r="626">
      <x:c r="A626" t="n">
        <x:v>625</x:v>
      </x:c>
      <x:c r="B626" t="str">
        <x:v>2026-09-23</x:v>
      </x:c>
      <x:c r="C626" t="str">
        <x:v>L1</x:v>
      </x:c>
      <x:c r="D626" t="str">
        <x:v>Envasado A</x:v>
      </x:c>
      <x:c r="E626" t="str">
        <x:v>Matutino</x:v>
      </x:c>
      <x:c r="F626" t="str">
        <x:v>P001</x:v>
      </x:c>
      <x:c r="G626" t="str">
        <x:v>Producto Alfa</x:v>
      </x:c>
      <x:c r="H626" t="n">
        <x:v>480</x:v>
      </x:c>
      <x:c r="I626" t="n">
        <x:v>25</x:v>
      </x:c>
      <x:c r="J626" t="n">
        <x:v>60</x:v>
      </x:c>
      <x:c r="K626" t="n">
        <x:v>395</x:v>
      </x:c>
      <x:c r="L626" t="n">
        <x:v>8</x:v>
      </x:c>
      <x:c r="M626" t="n">
        <x:v>3276</x:v>
      </x:c>
      <x:c r="N626" t="n">
        <x:v>2877</x:v>
      </x:c>
      <x:c r="O626" t="n">
        <x:v>2794</x:v>
      </x:c>
      <x:c r="P626" t="n">
        <x:v>83</x:v>
      </x:c>
    </x:row>
    <x:row r="627">
      <x:c r="A627" t="n">
        <x:v>626</x:v>
      </x:c>
      <x:c r="B627" t="str">
        <x:v>2026-09-23</x:v>
      </x:c>
      <x:c r="C627" t="str">
        <x:v>L1</x:v>
      </x:c>
      <x:c r="D627" t="str">
        <x:v>Envasado A</x:v>
      </x:c>
      <x:c r="E627" t="str">
        <x:v>Vespertino</x:v>
      </x:c>
      <x:c r="F627" t="str">
        <x:v>P001</x:v>
      </x:c>
      <x:c r="G627" t="str">
        <x:v>Producto Alfa</x:v>
      </x:c>
      <x:c r="H627" t="n">
        <x:v>480</x:v>
      </x:c>
      <x:c r="I627" t="n">
        <x:v>21</x:v>
      </x:c>
      <x:c r="J627" t="n">
        <x:v>0</x:v>
      </x:c>
      <x:c r="K627" t="n">
        <x:v>459</x:v>
      </x:c>
      <x:c r="L627" t="n">
        <x:v>8</x:v>
      </x:c>
      <x:c r="M627" t="n">
        <x:v>3304</x:v>
      </x:c>
      <x:c r="N627" t="n">
        <x:v>3221</x:v>
      </x:c>
      <x:c r="O627" t="n">
        <x:v>3086</x:v>
      </x:c>
      <x:c r="P627" t="n">
        <x:v>135</x:v>
      </x:c>
    </x:row>
    <x:row r="628">
      <x:c r="A628" t="n">
        <x:v>627</x:v>
      </x:c>
      <x:c r="B628" t="str">
        <x:v>2026-09-23</x:v>
      </x:c>
      <x:c r="C628" t="str">
        <x:v>L2</x:v>
      </x:c>
      <x:c r="D628" t="str">
        <x:v>Envasado B</x:v>
      </x:c>
      <x:c r="E628" t="str">
        <x:v>Matutino</x:v>
      </x:c>
      <x:c r="F628" t="str">
        <x:v>P002</x:v>
      </x:c>
      <x:c r="G628" t="str">
        <x:v>Producto Beta</x:v>
      </x:c>
      <x:c r="H628" t="n">
        <x:v>480</x:v>
      </x:c>
      <x:c r="I628" t="n">
        <x:v>16</x:v>
      </x:c>
      <x:c r="J628" t="n">
        <x:v>40</x:v>
      </x:c>
      <x:c r="K628" t="n">
        <x:v>424</x:v>
      </x:c>
      <x:c r="L628" t="n">
        <x:v>7.5</x:v>
      </x:c>
      <x:c r="M628" t="n">
        <x:v>3132</x:v>
      </x:c>
      <x:c r="N628" t="n">
        <x:v>2880</x:v>
      </x:c>
      <x:c r="O628" t="n">
        <x:v>2705</x:v>
      </x:c>
      <x:c r="P628" t="n">
        <x:v>175</x:v>
      </x:c>
    </x:row>
    <x:row r="629">
      <x:c r="A629" t="n">
        <x:v>628</x:v>
      </x:c>
      <x:c r="B629" t="str">
        <x:v>2026-09-23</x:v>
      </x:c>
      <x:c r="C629" t="str">
        <x:v>L2</x:v>
      </x:c>
      <x:c r="D629" t="str">
        <x:v>Envasado B</x:v>
      </x:c>
      <x:c r="E629" t="str">
        <x:v>Vespertino</x:v>
      </x:c>
      <x:c r="F629" t="str">
        <x:v>P001</x:v>
      </x:c>
      <x:c r="G629" t="str">
        <x:v>Producto Alfa</x:v>
      </x:c>
      <x:c r="H629" t="n">
        <x:v>480</x:v>
      </x:c>
      <x:c r="I629" t="n">
        <x:v>31</x:v>
      </x:c>
      <x:c r="J629" t="n">
        <x:v>34</x:v>
      </x:c>
      <x:c r="K629" t="n">
        <x:v>415</x:v>
      </x:c>
      <x:c r="L629" t="n">
        <x:v>7.5</x:v>
      </x:c>
      <x:c r="M629" t="n">
        <x:v>3030</x:v>
      </x:c>
      <x:c r="N629" t="n">
        <x:v>2577</x:v>
      </x:c>
      <x:c r="O629" t="n">
        <x:v>2508</x:v>
      </x:c>
      <x:c r="P629" t="n">
        <x:v>69</x:v>
      </x:c>
    </x:row>
    <x:row r="630">
      <x:c r="A630" t="n">
        <x:v>629</x:v>
      </x:c>
      <x:c r="B630" t="str">
        <x:v>2026-09-23</x:v>
      </x:c>
      <x:c r="C630" t="str">
        <x:v>L3</x:v>
      </x:c>
      <x:c r="D630" t="str">
        <x:v>Empaque</x:v>
      </x:c>
      <x:c r="E630" t="str">
        <x:v>Matutino</x:v>
      </x:c>
      <x:c r="F630" t="str">
        <x:v>P002</x:v>
      </x:c>
      <x:c r="G630" t="str">
        <x:v>Producto Beta</x:v>
      </x:c>
      <x:c r="H630" t="n">
        <x:v>480</x:v>
      </x:c>
      <x:c r="I630" t="n">
        <x:v>17</x:v>
      </x:c>
      <x:c r="J630" t="n">
        <x:v>5</x:v>
      </x:c>
      <x:c r="K630" t="n">
        <x:v>458</x:v>
      </x:c>
      <x:c r="L630" t="n">
        <x:v>8.67</x:v>
      </x:c>
      <x:c r="M630" t="n">
        <x:v>3611</x:v>
      </x:c>
      <x:c r="N630" t="n">
        <x:v>3509</x:v>
      </x:c>
      <x:c r="O630" t="n">
        <x:v>3271</x:v>
      </x:c>
      <x:c r="P630" t="n">
        <x:v>238</x:v>
      </x:c>
    </x:row>
    <x:row r="631">
      <x:c r="A631" t="n">
        <x:v>630</x:v>
      </x:c>
      <x:c r="B631" t="str">
        <x:v>2026-09-23</x:v>
      </x:c>
      <x:c r="C631" t="str">
        <x:v>L3</x:v>
      </x:c>
      <x:c r="D631" t="str">
        <x:v>Empaque</x:v>
      </x:c>
      <x:c r="E631" t="str">
        <x:v>Vespertino</x:v>
      </x:c>
      <x:c r="F631" t="str">
        <x:v>P003</x:v>
      </x:c>
      <x:c r="G631" t="str">
        <x:v>Producto Gamma</x:v>
      </x:c>
      <x:c r="H631" t="n">
        <x:v>480</x:v>
      </x:c>
      <x:c r="I631" t="n">
        <x:v>33</x:v>
      </x:c>
      <x:c r="J631" t="n">
        <x:v>11</x:v>
      </x:c>
      <x:c r="K631" t="n">
        <x:v>436</x:v>
      </x:c>
      <x:c r="L631" t="n">
        <x:v>8.67</x:v>
      </x:c>
      <x:c r="M631" t="n">
        <x:v>3486</x:v>
      </x:c>
      <x:c r="N631" t="n">
        <x:v>3670</x:v>
      </x:c>
      <x:c r="O631" t="n">
        <x:v>3511</x:v>
      </x:c>
      <x:c r="P631" t="n">
        <x:v>159</x:v>
      </x:c>
    </x:row>
    <x:row r="632">
      <x:c r="A632" t="n">
        <x:v>631</x:v>
      </x:c>
      <x:c r="B632" t="str">
        <x:v>2026-09-23</x:v>
      </x:c>
      <x:c r="C632" t="str">
        <x:v>L4</x:v>
      </x:c>
      <x:c r="D632" t="str">
        <x:v>Etiquetado</x:v>
      </x:c>
      <x:c r="E632" t="str">
        <x:v>Matutino</x:v>
      </x:c>
      <x:c r="F632" t="str">
        <x:v>P001</x:v>
      </x:c>
      <x:c r="G632" t="str">
        <x:v>Producto Alfa</x:v>
      </x:c>
      <x:c r="H632" t="n">
        <x:v>480</x:v>
      </x:c>
      <x:c r="I632" t="n">
        <x:v>22</x:v>
      </x:c>
      <x:c r="J632" t="n">
        <x:v>16</x:v>
      </x:c>
      <x:c r="K632" t="n">
        <x:v>442</x:v>
      </x:c>
      <x:c r="L632" t="n">
        <x:v>10</x:v>
      </x:c>
      <x:c r="M632" t="n">
        <x:v>4122</x:v>
      </x:c>
      <x:c r="N632" t="n">
        <x:v>4397</x:v>
      </x:c>
      <x:c r="O632" t="n">
        <x:v>4268</x:v>
      </x:c>
      <x:c r="P632" t="n">
        <x:v>129</x:v>
      </x:c>
    </x:row>
    <x:row r="633">
      <x:c r="A633" t="n">
        <x:v>632</x:v>
      </x:c>
      <x:c r="B633" t="str">
        <x:v>2026-09-23</x:v>
      </x:c>
      <x:c r="C633" t="str">
        <x:v>L4</x:v>
      </x:c>
      <x:c r="D633" t="str">
        <x:v>Etiquetado</x:v>
      </x:c>
      <x:c r="E633" t="str">
        <x:v>Vespertino</x:v>
      </x:c>
      <x:c r="F633" t="str">
        <x:v>P003</x:v>
      </x:c>
      <x:c r="G633" t="str">
        <x:v>Producto Gamma</x:v>
      </x:c>
      <x:c r="H633" t="n">
        <x:v>480</x:v>
      </x:c>
      <x:c r="I633" t="n">
        <x:v>25</x:v>
      </x:c>
      <x:c r="J633" t="n">
        <x:v>18</x:v>
      </x:c>
      <x:c r="K633" t="n">
        <x:v>437</x:v>
      </x:c>
      <x:c r="L633" t="n">
        <x:v>10</x:v>
      </x:c>
      <x:c r="M633" t="n">
        <x:v>4095</x:v>
      </x:c>
      <x:c r="N633" t="n">
        <x:v>3911</x:v>
      </x:c>
      <x:c r="O633" t="n">
        <x:v>3749</x:v>
      </x:c>
      <x:c r="P633" t="n">
        <x:v>162</x:v>
      </x:c>
    </x:row>
    <x:row r="634">
      <x:c r="A634" t="n">
        <x:v>633</x:v>
      </x:c>
      <x:c r="B634" t="str">
        <x:v>2026-09-24</x:v>
      </x:c>
      <x:c r="C634" t="str">
        <x:v>L1</x:v>
      </x:c>
      <x:c r="D634" t="str">
        <x:v>Envasado A</x:v>
      </x:c>
      <x:c r="E634" t="str">
        <x:v>Matutino</x:v>
      </x:c>
      <x:c r="F634" t="str">
        <x:v>P001</x:v>
      </x:c>
      <x:c r="G634" t="str">
        <x:v>Producto Alfa</x:v>
      </x:c>
      <x:c r="H634" t="n">
        <x:v>480</x:v>
      </x:c>
      <x:c r="I634" t="n">
        <x:v>21</x:v>
      </x:c>
      <x:c r="J634" t="n">
        <x:v>52</x:v>
      </x:c>
      <x:c r="K634" t="n">
        <x:v>407</x:v>
      </x:c>
      <x:c r="L634" t="n">
        <x:v>8</x:v>
      </x:c>
      <x:c r="M634" t="n">
        <x:v>3304</x:v>
      </x:c>
      <x:c r="N634" t="n">
        <x:v>3152</x:v>
      </x:c>
      <x:c r="O634" t="n">
        <x:v>3039</x:v>
      </x:c>
      <x:c r="P634" t="n">
        <x:v>113</x:v>
      </x:c>
    </x:row>
    <x:row r="635">
      <x:c r="A635" t="n">
        <x:v>634</x:v>
      </x:c>
      <x:c r="B635" t="str">
        <x:v>2026-09-24</x:v>
      </x:c>
      <x:c r="C635" t="str">
        <x:v>L1</x:v>
      </x:c>
      <x:c r="D635" t="str">
        <x:v>Envasado A</x:v>
      </x:c>
      <x:c r="E635" t="str">
        <x:v>Vespertino</x:v>
      </x:c>
      <x:c r="F635" t="str">
        <x:v>P002</x:v>
      </x:c>
      <x:c r="G635" t="str">
        <x:v>Producto Beta</x:v>
      </x:c>
      <x:c r="H635" t="n">
        <x:v>480</x:v>
      </x:c>
      <x:c r="I635" t="n">
        <x:v>29</x:v>
      </x:c>
      <x:c r="J635" t="n">
        <x:v>34</x:v>
      </x:c>
      <x:c r="K635" t="n">
        <x:v>417</x:v>
      </x:c>
      <x:c r="L635" t="n">
        <x:v>8</x:v>
      </x:c>
      <x:c r="M635" t="n">
        <x:v>3247</x:v>
      </x:c>
      <x:c r="N635" t="n">
        <x:v>3005</x:v>
      </x:c>
      <x:c r="O635" t="n">
        <x:v>2841</x:v>
      </x:c>
      <x:c r="P635" t="n">
        <x:v>164</x:v>
      </x:c>
    </x:row>
    <x:row r="636">
      <x:c r="A636" t="n">
        <x:v>635</x:v>
      </x:c>
      <x:c r="B636" t="str">
        <x:v>2026-09-24</x:v>
      </x:c>
      <x:c r="C636" t="str">
        <x:v>L2</x:v>
      </x:c>
      <x:c r="D636" t="str">
        <x:v>Envasado B</x:v>
      </x:c>
      <x:c r="E636" t="str">
        <x:v>Matutino</x:v>
      </x:c>
      <x:c r="F636" t="str">
        <x:v>P002</x:v>
      </x:c>
      <x:c r="G636" t="str">
        <x:v>Producto Beta</x:v>
      </x:c>
      <x:c r="H636" t="n">
        <x:v>480</x:v>
      </x:c>
      <x:c r="I636" t="n">
        <x:v>21</x:v>
      </x:c>
      <x:c r="J636" t="n">
        <x:v>4</x:v>
      </x:c>
      <x:c r="K636" t="n">
        <x:v>455</x:v>
      </x:c>
      <x:c r="L636" t="n">
        <x:v>7.5</x:v>
      </x:c>
      <x:c r="M636" t="n">
        <x:v>3098</x:v>
      </x:c>
      <x:c r="N636" t="n">
        <x:v>3156</x:v>
      </x:c>
      <x:c r="O636" t="n">
        <x:v>2976</x:v>
      </x:c>
      <x:c r="P636" t="n">
        <x:v>180</x:v>
      </x:c>
    </x:row>
    <x:row r="637">
      <x:c r="A637" t="n">
        <x:v>636</x:v>
      </x:c>
      <x:c r="B637" t="str">
        <x:v>2026-09-24</x:v>
      </x:c>
      <x:c r="C637" t="str">
        <x:v>L2</x:v>
      </x:c>
      <x:c r="D637" t="str">
        <x:v>Envasado B</x:v>
      </x:c>
      <x:c r="E637" t="str">
        <x:v>Vespertino</x:v>
      </x:c>
      <x:c r="F637" t="str">
        <x:v>P003</x:v>
      </x:c>
      <x:c r="G637" t="str">
        <x:v>Producto Gamma</x:v>
      </x:c>
      <x:c r="H637" t="n">
        <x:v>480</x:v>
      </x:c>
      <x:c r="I637" t="n">
        <x:v>24</x:v>
      </x:c>
      <x:c r="J637" t="n">
        <x:v>20</x:v>
      </x:c>
      <x:c r="K637" t="n">
        <x:v>436</x:v>
      </x:c>
      <x:c r="L637" t="n">
        <x:v>7.5</x:v>
      </x:c>
      <x:c r="M637" t="n">
        <x:v>3078</x:v>
      </x:c>
      <x:c r="N637" t="n">
        <x:v>3080</x:v>
      </x:c>
      <x:c r="O637" t="n">
        <x:v>2875</x:v>
      </x:c>
      <x:c r="P637" t="n">
        <x:v>205</x:v>
      </x:c>
    </x:row>
    <x:row r="638">
      <x:c r="A638" t="n">
        <x:v>637</x:v>
      </x:c>
      <x:c r="B638" t="str">
        <x:v>2026-09-24</x:v>
      </x:c>
      <x:c r="C638" t="str">
        <x:v>L3</x:v>
      </x:c>
      <x:c r="D638" t="str">
        <x:v>Empaque</x:v>
      </x:c>
      <x:c r="E638" t="str">
        <x:v>Matutino</x:v>
      </x:c>
      <x:c r="F638" t="str">
        <x:v>P001</x:v>
      </x:c>
      <x:c r="G638" t="str">
        <x:v>Producto Alfa</x:v>
      </x:c>
      <x:c r="H638" t="n">
        <x:v>480</x:v>
      </x:c>
      <x:c r="I638" t="n">
        <x:v>21</x:v>
      </x:c>
      <x:c r="J638" t="n">
        <x:v>38</x:v>
      </x:c>
      <x:c r="K638" t="n">
        <x:v>421</x:v>
      </x:c>
      <x:c r="L638" t="n">
        <x:v>8.67</x:v>
      </x:c>
      <x:c r="M638" t="n">
        <x:v>3580</x:v>
      </x:c>
      <x:c r="N638" t="n">
        <x:v>3194</x:v>
      </x:c>
      <x:c r="O638" t="n">
        <x:v>3090</x:v>
      </x:c>
      <x:c r="P638" t="n">
        <x:v>104</x:v>
      </x:c>
    </x:row>
    <x:row r="639">
      <x:c r="A639" t="n">
        <x:v>638</x:v>
      </x:c>
      <x:c r="B639" t="str">
        <x:v>2026-09-24</x:v>
      </x:c>
      <x:c r="C639" t="str">
        <x:v>L3</x:v>
      </x:c>
      <x:c r="D639" t="str">
        <x:v>Empaque</x:v>
      </x:c>
      <x:c r="E639" t="str">
        <x:v>Vespertino</x:v>
      </x:c>
      <x:c r="F639" t="str">
        <x:v>P002</x:v>
      </x:c>
      <x:c r="G639" t="str">
        <x:v>Producto Beta</x:v>
      </x:c>
      <x:c r="H639" t="n">
        <x:v>480</x:v>
      </x:c>
      <x:c r="I639" t="n">
        <x:v>27</x:v>
      </x:c>
      <x:c r="J639" t="n">
        <x:v>37</x:v>
      </x:c>
      <x:c r="K639" t="n">
        <x:v>416</x:v>
      </x:c>
      <x:c r="L639" t="n">
        <x:v>8.67</x:v>
      </x:c>
      <x:c r="M639" t="n">
        <x:v>3533</x:v>
      </x:c>
      <x:c r="N639" t="n">
        <x:v>3037</x:v>
      </x:c>
      <x:c r="O639" t="n">
        <x:v>2850</x:v>
      </x:c>
      <x:c r="P639" t="n">
        <x:v>187</x:v>
      </x:c>
    </x:row>
    <x:row r="640">
      <x:c r="A640" t="n">
        <x:v>639</x:v>
      </x:c>
      <x:c r="B640" t="str">
        <x:v>2026-09-24</x:v>
      </x:c>
      <x:c r="C640" t="str">
        <x:v>L4</x:v>
      </x:c>
      <x:c r="D640" t="str">
        <x:v>Etiquetado</x:v>
      </x:c>
      <x:c r="E640" t="str">
        <x:v>Matutino</x:v>
      </x:c>
      <x:c r="F640" t="str">
        <x:v>P002</x:v>
      </x:c>
      <x:c r="G640" t="str">
        <x:v>Producto Beta</x:v>
      </x:c>
      <x:c r="H640" t="n">
        <x:v>480</x:v>
      </x:c>
      <x:c r="I640" t="n">
        <x:v>20</x:v>
      </x:c>
      <x:c r="J640" t="n">
        <x:v>49</x:v>
      </x:c>
      <x:c r="K640" t="n">
        <x:v>411</x:v>
      </x:c>
      <x:c r="L640" t="n">
        <x:v>10</x:v>
      </x:c>
      <x:c r="M640" t="n">
        <x:v>4140</x:v>
      </x:c>
      <x:c r="N640" t="n">
        <x:v>3776</x:v>
      </x:c>
      <x:c r="O640" t="n">
        <x:v>3477</x:v>
      </x:c>
      <x:c r="P640" t="n">
        <x:v>299</x:v>
      </x:c>
    </x:row>
    <x:row r="641">
      <x:c r="A641" t="n">
        <x:v>640</x:v>
      </x:c>
      <x:c r="B641" t="str">
        <x:v>2026-09-24</x:v>
      </x:c>
      <x:c r="C641" t="str">
        <x:v>L4</x:v>
      </x:c>
      <x:c r="D641" t="str">
        <x:v>Etiquetado</x:v>
      </x:c>
      <x:c r="E641" t="str">
        <x:v>Vespertino</x:v>
      </x:c>
      <x:c r="F641" t="str">
        <x:v>P001</x:v>
      </x:c>
      <x:c r="G641" t="str">
        <x:v>Producto Alfa</x:v>
      </x:c>
      <x:c r="H641" t="n">
        <x:v>480</x:v>
      </x:c>
      <x:c r="I641" t="n">
        <x:v>18</x:v>
      </x:c>
      <x:c r="J641" t="n">
        <x:v>38</x:v>
      </x:c>
      <x:c r="K641" t="n">
        <x:v>424</x:v>
      </x:c>
      <x:c r="L641" t="n">
        <x:v>10</x:v>
      </x:c>
      <x:c r="M641" t="n">
        <x:v>4158</x:v>
      </x:c>
      <x:c r="N641" t="n">
        <x:v>3523</x:v>
      </x:c>
      <x:c r="O641" t="n">
        <x:v>3400</x:v>
      </x:c>
      <x:c r="P641" t="n">
        <x:v>123</x:v>
      </x:c>
    </x:row>
    <x:row r="642">
      <x:c r="A642" t="n">
        <x:v>641</x:v>
      </x:c>
      <x:c r="B642" t="str">
        <x:v>2026-09-25</x:v>
      </x:c>
      <x:c r="C642" t="str">
        <x:v>L1</x:v>
      </x:c>
      <x:c r="D642" t="str">
        <x:v>Envasado A</x:v>
      </x:c>
      <x:c r="E642" t="str">
        <x:v>Matutino</x:v>
      </x:c>
      <x:c r="F642" t="str">
        <x:v>P001</x:v>
      </x:c>
      <x:c r="G642" t="str">
        <x:v>Producto Alfa</x:v>
      </x:c>
      <x:c r="H642" t="n">
        <x:v>480</x:v>
      </x:c>
      <x:c r="I642" t="n">
        <x:v>18</x:v>
      </x:c>
      <x:c r="J642" t="n">
        <x:v>69</x:v>
      </x:c>
      <x:c r="K642" t="n">
        <x:v>393</x:v>
      </x:c>
      <x:c r="L642" t="n">
        <x:v>8</x:v>
      </x:c>
      <x:c r="M642" t="n">
        <x:v>3326</x:v>
      </x:c>
      <x:c r="N642" t="n">
        <x:v>2881</x:v>
      </x:c>
      <x:c r="O642" t="n">
        <x:v>2783</x:v>
      </x:c>
      <x:c r="P642" t="n">
        <x:v>98</x:v>
      </x:c>
    </x:row>
    <x:row r="643">
      <x:c r="A643" t="n">
        <x:v>642</x:v>
      </x:c>
      <x:c r="B643" t="str">
        <x:v>2026-09-25</x:v>
      </x:c>
      <x:c r="C643" t="str">
        <x:v>L1</x:v>
      </x:c>
      <x:c r="D643" t="str">
        <x:v>Envasado A</x:v>
      </x:c>
      <x:c r="E643" t="str">
        <x:v>Vespertino</x:v>
      </x:c>
      <x:c r="F643" t="str">
        <x:v>P002</x:v>
      </x:c>
      <x:c r="G643" t="str">
        <x:v>Producto Beta</x:v>
      </x:c>
      <x:c r="H643" t="n">
        <x:v>480</x:v>
      </x:c>
      <x:c r="I643" t="n">
        <x:v>26</x:v>
      </x:c>
      <x:c r="J643" t="n">
        <x:v>26</x:v>
      </x:c>
      <x:c r="K643" t="n">
        <x:v>428</x:v>
      </x:c>
      <x:c r="L643" t="n">
        <x:v>8</x:v>
      </x:c>
      <x:c r="M643" t="n">
        <x:v>3268</x:v>
      </x:c>
      <x:c r="N643" t="n">
        <x:v>2974</x:v>
      </x:c>
      <x:c r="O643" t="n">
        <x:v>2718</x:v>
      </x:c>
      <x:c r="P643" t="n">
        <x:v>256</x:v>
      </x:c>
    </x:row>
    <x:row r="644">
      <x:c r="A644" t="n">
        <x:v>643</x:v>
      </x:c>
      <x:c r="B644" t="str">
        <x:v>2026-09-25</x:v>
      </x:c>
      <x:c r="C644" t="str">
        <x:v>L2</x:v>
      </x:c>
      <x:c r="D644" t="str">
        <x:v>Envasado B</x:v>
      </x:c>
      <x:c r="E644" t="str">
        <x:v>Matutino</x:v>
      </x:c>
      <x:c r="F644" t="str">
        <x:v>P001</x:v>
      </x:c>
      <x:c r="G644" t="str">
        <x:v>Producto Alfa</x:v>
      </x:c>
      <x:c r="H644" t="n">
        <x:v>480</x:v>
      </x:c>
      <x:c r="I644" t="n">
        <x:v>33</x:v>
      </x:c>
      <x:c r="J644" t="n">
        <x:v>0</x:v>
      </x:c>
      <x:c r="K644" t="n">
        <x:v>447</x:v>
      </x:c>
      <x:c r="L644" t="n">
        <x:v>7.5</x:v>
      </x:c>
      <x:c r="M644" t="n">
        <x:v>3017</x:v>
      </x:c>
      <x:c r="N644" t="n">
        <x:v>2877</x:v>
      </x:c>
      <x:c r="O644" t="n">
        <x:v>2862</x:v>
      </x:c>
      <x:c r="P644" t="n">
        <x:v>15</x:v>
      </x:c>
    </x:row>
    <x:row r="645">
      <x:c r="A645" t="n">
        <x:v>644</x:v>
      </x:c>
      <x:c r="B645" t="str">
        <x:v>2026-09-25</x:v>
      </x:c>
      <x:c r="C645" t="str">
        <x:v>L2</x:v>
      </x:c>
      <x:c r="D645" t="str">
        <x:v>Envasado B</x:v>
      </x:c>
      <x:c r="E645" t="str">
        <x:v>Vespertino</x:v>
      </x:c>
      <x:c r="F645" t="str">
        <x:v>P001</x:v>
      </x:c>
      <x:c r="G645" t="str">
        <x:v>Producto Alfa</x:v>
      </x:c>
      <x:c r="H645" t="n">
        <x:v>480</x:v>
      </x:c>
      <x:c r="I645" t="n">
        <x:v>35</x:v>
      </x:c>
      <x:c r="J645" t="n">
        <x:v>62</x:v>
      </x:c>
      <x:c r="K645" t="n">
        <x:v>383</x:v>
      </x:c>
      <x:c r="L645" t="n">
        <x:v>7.5</x:v>
      </x:c>
      <x:c r="M645" t="n">
        <x:v>3003</x:v>
      </x:c>
      <x:c r="N645" t="n">
        <x:v>2550</x:v>
      </x:c>
      <x:c r="O645" t="n">
        <x:v>2453</x:v>
      </x:c>
      <x:c r="P645" t="n">
        <x:v>97</x:v>
      </x:c>
    </x:row>
    <x:row r="646">
      <x:c r="A646" t="n">
        <x:v>645</x:v>
      </x:c>
      <x:c r="B646" t="str">
        <x:v>2026-09-25</x:v>
      </x:c>
      <x:c r="C646" t="str">
        <x:v>L3</x:v>
      </x:c>
      <x:c r="D646" t="str">
        <x:v>Empaque</x:v>
      </x:c>
      <x:c r="E646" t="str">
        <x:v>Matutino</x:v>
      </x:c>
      <x:c r="F646" t="str">
        <x:v>P002</x:v>
      </x:c>
      <x:c r="G646" t="str">
        <x:v>Producto Beta</x:v>
      </x:c>
      <x:c r="H646" t="n">
        <x:v>480</x:v>
      </x:c>
      <x:c r="I646" t="n">
        <x:v>18</x:v>
      </x:c>
      <x:c r="J646" t="n">
        <x:v>51</x:v>
      </x:c>
      <x:c r="K646" t="n">
        <x:v>411</x:v>
      </x:c>
      <x:c r="L646" t="n">
        <x:v>8.67</x:v>
      </x:c>
      <x:c r="M646" t="n">
        <x:v>3603</x:v>
      </x:c>
      <x:c r="N646" t="n">
        <x:v>3288</x:v>
      </x:c>
      <x:c r="O646" t="n">
        <x:v>3116</x:v>
      </x:c>
      <x:c r="P646" t="n">
        <x:v>172</x:v>
      </x:c>
    </x:row>
    <x:row r="647">
      <x:c r="A647" t="n">
        <x:v>646</x:v>
      </x:c>
      <x:c r="B647" t="str">
        <x:v>2026-09-25</x:v>
      </x:c>
      <x:c r="C647" t="str">
        <x:v>L3</x:v>
      </x:c>
      <x:c r="D647" t="str">
        <x:v>Empaque</x:v>
      </x:c>
      <x:c r="E647" t="str">
        <x:v>Vespertino</x:v>
      </x:c>
      <x:c r="F647" t="str">
        <x:v>P003</x:v>
      </x:c>
      <x:c r="G647" t="str">
        <x:v>Producto Gamma</x:v>
      </x:c>
      <x:c r="H647" t="n">
        <x:v>480</x:v>
      </x:c>
      <x:c r="I647" t="n">
        <x:v>27</x:v>
      </x:c>
      <x:c r="J647" t="n">
        <x:v>53</x:v>
      </x:c>
      <x:c r="K647" t="n">
        <x:v>400</x:v>
      </x:c>
      <x:c r="L647" t="n">
        <x:v>8.67</x:v>
      </x:c>
      <x:c r="M647" t="n">
        <x:v>3533</x:v>
      </x:c>
      <x:c r="N647" t="n">
        <x:v>3001</x:v>
      </x:c>
      <x:c r="O647" t="n">
        <x:v>2851</x:v>
      </x:c>
      <x:c r="P647" t="n">
        <x:v>150</x:v>
      </x:c>
    </x:row>
    <x:row r="648">
      <x:c r="A648" t="n">
        <x:v>647</x:v>
      </x:c>
      <x:c r="B648" t="str">
        <x:v>2026-09-25</x:v>
      </x:c>
      <x:c r="C648" t="str">
        <x:v>L4</x:v>
      </x:c>
      <x:c r="D648" t="str">
        <x:v>Etiquetado</x:v>
      </x:c>
      <x:c r="E648" t="str">
        <x:v>Matutino</x:v>
      </x:c>
      <x:c r="F648" t="str">
        <x:v>P002</x:v>
      </x:c>
      <x:c r="G648" t="str">
        <x:v>Producto Beta</x:v>
      </x:c>
      <x:c r="H648" t="n">
        <x:v>480</x:v>
      </x:c>
      <x:c r="I648" t="n">
        <x:v>20</x:v>
      </x:c>
      <x:c r="J648" t="n">
        <x:v>0</x:v>
      </x:c>
      <x:c r="K648" t="n">
        <x:v>460</x:v>
      </x:c>
      <x:c r="L648" t="n">
        <x:v>10</x:v>
      </x:c>
      <x:c r="M648" t="n">
        <x:v>4140</x:v>
      </x:c>
      <x:c r="N648" t="n">
        <x:v>4545</x:v>
      </x:c>
      <x:c r="O648" t="n">
        <x:v>4263</x:v>
      </x:c>
      <x:c r="P648" t="n">
        <x:v>282</x:v>
      </x:c>
    </x:row>
    <x:row r="649">
      <x:c r="A649" t="n">
        <x:v>648</x:v>
      </x:c>
      <x:c r="B649" t="str">
        <x:v>2026-09-25</x:v>
      </x:c>
      <x:c r="C649" t="str">
        <x:v>L4</x:v>
      </x:c>
      <x:c r="D649" t="str">
        <x:v>Etiquetado</x:v>
      </x:c>
      <x:c r="E649" t="str">
        <x:v>Vespertino</x:v>
      </x:c>
      <x:c r="F649" t="str">
        <x:v>P001</x:v>
      </x:c>
      <x:c r="G649" t="str">
        <x:v>Producto Alfa</x:v>
      </x:c>
      <x:c r="H649" t="n">
        <x:v>480</x:v>
      </x:c>
      <x:c r="I649" t="n">
        <x:v>16</x:v>
      </x:c>
      <x:c r="J649" t="n">
        <x:v>51</x:v>
      </x:c>
      <x:c r="K649" t="n">
        <x:v>413</x:v>
      </x:c>
      <x:c r="L649" t="n">
        <x:v>10</x:v>
      </x:c>
      <x:c r="M649" t="n">
        <x:v>4176</x:v>
      </x:c>
      <x:c r="N649" t="n">
        <x:v>3564</x:v>
      </x:c>
      <x:c r="O649" t="n">
        <x:v>3382</x:v>
      </x:c>
      <x:c r="P649" t="n">
        <x:v>182</x:v>
      </x:c>
    </x:row>
    <x:row r="650">
      <x:c r="A650" t="n">
        <x:v>649</x:v>
      </x:c>
      <x:c r="B650" t="str">
        <x:v>2026-09-26</x:v>
      </x:c>
      <x:c r="C650" t="str">
        <x:v>L1</x:v>
      </x:c>
      <x:c r="D650" t="str">
        <x:v>Envasado A</x:v>
      </x:c>
      <x:c r="E650" t="str">
        <x:v>Matutino</x:v>
      </x:c>
      <x:c r="F650" t="str">
        <x:v>P003</x:v>
      </x:c>
      <x:c r="G650" t="str">
        <x:v>Producto Gamma</x:v>
      </x:c>
      <x:c r="H650" t="n">
        <x:v>480</x:v>
      </x:c>
      <x:c r="I650" t="n">
        <x:v>24</x:v>
      </x:c>
      <x:c r="J650" t="n">
        <x:v>0</x:v>
      </x:c>
      <x:c r="K650" t="n">
        <x:v>456</x:v>
      </x:c>
      <x:c r="L650" t="n">
        <x:v>8</x:v>
      </x:c>
      <x:c r="M650" t="n">
        <x:v>3283</x:v>
      </x:c>
      <x:c r="N650" t="n">
        <x:v>3322</x:v>
      </x:c>
      <x:c r="O650" t="n">
        <x:v>3138</x:v>
      </x:c>
      <x:c r="P650" t="n">
        <x:v>184</x:v>
      </x:c>
    </x:row>
    <x:row r="651">
      <x:c r="A651" t="n">
        <x:v>650</x:v>
      </x:c>
      <x:c r="B651" t="str">
        <x:v>2026-09-26</x:v>
      </x:c>
      <x:c r="C651" t="str">
        <x:v>L1</x:v>
      </x:c>
      <x:c r="D651" t="str">
        <x:v>Envasado A</x:v>
      </x:c>
      <x:c r="E651" t="str">
        <x:v>Vespertino</x:v>
      </x:c>
      <x:c r="F651" t="str">
        <x:v>P002</x:v>
      </x:c>
      <x:c r="G651" t="str">
        <x:v>Producto Beta</x:v>
      </x:c>
      <x:c r="H651" t="n">
        <x:v>480</x:v>
      </x:c>
      <x:c r="I651" t="n">
        <x:v>19</x:v>
      </x:c>
      <x:c r="J651" t="n">
        <x:v>29</x:v>
      </x:c>
      <x:c r="K651" t="n">
        <x:v>432</x:v>
      </x:c>
      <x:c r="L651" t="n">
        <x:v>8</x:v>
      </x:c>
      <x:c r="M651" t="n">
        <x:v>3319</x:v>
      </x:c>
      <x:c r="N651" t="n">
        <x:v>2949</x:v>
      </x:c>
      <x:c r="O651" t="n">
        <x:v>2796</x:v>
      </x:c>
      <x:c r="P651" t="n">
        <x:v>153</x:v>
      </x:c>
    </x:row>
    <x:row r="652">
      <x:c r="A652" t="n">
        <x:v>651</x:v>
      </x:c>
      <x:c r="B652" t="str">
        <x:v>2026-09-26</x:v>
      </x:c>
      <x:c r="C652" t="str">
        <x:v>L2</x:v>
      </x:c>
      <x:c r="D652" t="str">
        <x:v>Envasado B</x:v>
      </x:c>
      <x:c r="E652" t="str">
        <x:v>Matutino</x:v>
      </x:c>
      <x:c r="F652" t="str">
        <x:v>P003</x:v>
      </x:c>
      <x:c r="G652" t="str">
        <x:v>Producto Gamma</x:v>
      </x:c>
      <x:c r="H652" t="n">
        <x:v>480</x:v>
      </x:c>
      <x:c r="I652" t="n">
        <x:v>22</x:v>
      </x:c>
      <x:c r="J652" t="n">
        <x:v>1</x:v>
      </x:c>
      <x:c r="K652" t="n">
        <x:v>457</x:v>
      </x:c>
      <x:c r="L652" t="n">
        <x:v>7.5</x:v>
      </x:c>
      <x:c r="M652" t="n">
        <x:v>3091</x:v>
      </x:c>
      <x:c r="N652" t="n">
        <x:v>2915</x:v>
      </x:c>
      <x:c r="O652" t="n">
        <x:v>2798</x:v>
      </x:c>
      <x:c r="P652" t="n">
        <x:v>117</x:v>
      </x:c>
    </x:row>
    <x:row r="653">
      <x:c r="A653" t="n">
        <x:v>652</x:v>
      </x:c>
      <x:c r="B653" t="str">
        <x:v>2026-09-26</x:v>
      </x:c>
      <x:c r="C653" t="str">
        <x:v>L2</x:v>
      </x:c>
      <x:c r="D653" t="str">
        <x:v>Envasado B</x:v>
      </x:c>
      <x:c r="E653" t="str">
        <x:v>Vespertino</x:v>
      </x:c>
      <x:c r="F653" t="str">
        <x:v>P003</x:v>
      </x:c>
      <x:c r="G653" t="str">
        <x:v>Producto Gamma</x:v>
      </x:c>
      <x:c r="H653" t="n">
        <x:v>480</x:v>
      </x:c>
      <x:c r="I653" t="n">
        <x:v>26</x:v>
      </x:c>
      <x:c r="J653" t="n">
        <x:v>0</x:v>
      </x:c>
      <x:c r="K653" t="n">
        <x:v>454</x:v>
      </x:c>
      <x:c r="L653" t="n">
        <x:v>7.5</x:v>
      </x:c>
      <x:c r="M653" t="n">
        <x:v>3064</x:v>
      </x:c>
      <x:c r="N653" t="n">
        <x:v>2833</x:v>
      </x:c>
      <x:c r="O653" t="n">
        <x:v>2698</x:v>
      </x:c>
      <x:c r="P653" t="n">
        <x:v>135</x:v>
      </x:c>
    </x:row>
    <x:row r="654">
      <x:c r="A654" t="n">
        <x:v>653</x:v>
      </x:c>
      <x:c r="B654" t="str">
        <x:v>2026-09-26</x:v>
      </x:c>
      <x:c r="C654" t="str">
        <x:v>L3</x:v>
      </x:c>
      <x:c r="D654" t="str">
        <x:v>Empaque</x:v>
      </x:c>
      <x:c r="E654" t="str">
        <x:v>Matutino</x:v>
      </x:c>
      <x:c r="F654" t="str">
        <x:v>P002</x:v>
      </x:c>
      <x:c r="G654" t="str">
        <x:v>Producto Beta</x:v>
      </x:c>
      <x:c r="H654" t="n">
        <x:v>480</x:v>
      </x:c>
      <x:c r="I654" t="n">
        <x:v>33</x:v>
      </x:c>
      <x:c r="J654" t="n">
        <x:v>6</x:v>
      </x:c>
      <x:c r="K654" t="n">
        <x:v>441</x:v>
      </x:c>
      <x:c r="L654" t="n">
        <x:v>8.67</x:v>
      </x:c>
      <x:c r="M654" t="n">
        <x:v>3486</x:v>
      </x:c>
      <x:c r="N654" t="n">
        <x:v>3475</x:v>
      </x:c>
      <x:c r="O654" t="n">
        <x:v>3282</x:v>
      </x:c>
      <x:c r="P654" t="n">
        <x:v>193</x:v>
      </x:c>
    </x:row>
    <x:row r="655">
      <x:c r="A655" t="n">
        <x:v>654</x:v>
      </x:c>
      <x:c r="B655" t="str">
        <x:v>2026-09-26</x:v>
      </x:c>
      <x:c r="C655" t="str">
        <x:v>L3</x:v>
      </x:c>
      <x:c r="D655" t="str">
        <x:v>Empaque</x:v>
      </x:c>
      <x:c r="E655" t="str">
        <x:v>Vespertino</x:v>
      </x:c>
      <x:c r="F655" t="str">
        <x:v>P001</x:v>
      </x:c>
      <x:c r="G655" t="str">
        <x:v>Producto Alfa</x:v>
      </x:c>
      <x:c r="H655" t="n">
        <x:v>480</x:v>
      </x:c>
      <x:c r="I655" t="n">
        <x:v>15</x:v>
      </x:c>
      <x:c r="J655" t="n">
        <x:v>45</x:v>
      </x:c>
      <x:c r="K655" t="n">
        <x:v>420</x:v>
      </x:c>
      <x:c r="L655" t="n">
        <x:v>8.67</x:v>
      </x:c>
      <x:c r="M655" t="n">
        <x:v>3626</x:v>
      </x:c>
      <x:c r="N655" t="n">
        <x:v>3537</x:v>
      </x:c>
      <x:c r="O655" t="n">
        <x:v>3350</x:v>
      </x:c>
      <x:c r="P655" t="n">
        <x:v>187</x:v>
      </x:c>
    </x:row>
    <x:row r="656">
      <x:c r="A656" t="n">
        <x:v>655</x:v>
      </x:c>
      <x:c r="B656" t="str">
        <x:v>2026-09-26</x:v>
      </x:c>
      <x:c r="C656" t="str">
        <x:v>L4</x:v>
      </x:c>
      <x:c r="D656" t="str">
        <x:v>Etiquetado</x:v>
      </x:c>
      <x:c r="E656" t="str">
        <x:v>Matutino</x:v>
      </x:c>
      <x:c r="F656" t="str">
        <x:v>P001</x:v>
      </x:c>
      <x:c r="G656" t="str">
        <x:v>Producto Alfa</x:v>
      </x:c>
      <x:c r="H656" t="n">
        <x:v>480</x:v>
      </x:c>
      <x:c r="I656" t="n">
        <x:v>30</x:v>
      </x:c>
      <x:c r="J656" t="n">
        <x:v>0</x:v>
      </x:c>
      <x:c r="K656" t="n">
        <x:v>450</x:v>
      </x:c>
      <x:c r="L656" t="n">
        <x:v>10</x:v>
      </x:c>
      <x:c r="M656" t="n">
        <x:v>4050</x:v>
      </x:c>
      <x:c r="N656" t="n">
        <x:v>4031</x:v>
      </x:c>
      <x:c r="O656" t="n">
        <x:v>4000</x:v>
      </x:c>
      <x:c r="P656" t="n">
        <x:v>31</x:v>
      </x:c>
    </x:row>
    <x:row r="657">
      <x:c r="A657" t="n">
        <x:v>656</x:v>
      </x:c>
      <x:c r="B657" t="str">
        <x:v>2026-09-26</x:v>
      </x:c>
      <x:c r="C657" t="str">
        <x:v>L4</x:v>
      </x:c>
      <x:c r="D657" t="str">
        <x:v>Etiquetado</x:v>
      </x:c>
      <x:c r="E657" t="str">
        <x:v>Vespertino</x:v>
      </x:c>
      <x:c r="F657" t="str">
        <x:v>P001</x:v>
      </x:c>
      <x:c r="G657" t="str">
        <x:v>Producto Alfa</x:v>
      </x:c>
      <x:c r="H657" t="n">
        <x:v>480</x:v>
      </x:c>
      <x:c r="I657" t="n">
        <x:v>22</x:v>
      </x:c>
      <x:c r="J657" t="n">
        <x:v>27</x:v>
      </x:c>
      <x:c r="K657" t="n">
        <x:v>431</x:v>
      </x:c>
      <x:c r="L657" t="n">
        <x:v>10</x:v>
      </x:c>
      <x:c r="M657" t="n">
        <x:v>4122</x:v>
      </x:c>
      <x:c r="N657" t="n">
        <x:v>3837</x:v>
      </x:c>
      <x:c r="O657" t="n">
        <x:v>3653</x:v>
      </x:c>
      <x:c r="P657" t="n">
        <x:v>184</x:v>
      </x:c>
    </x:row>
    <x:row r="658">
      <x:c r="A658" t="n">
        <x:v>657</x:v>
      </x:c>
      <x:c r="B658" t="str">
        <x:v>2026-09-27</x:v>
      </x:c>
      <x:c r="C658" t="str">
        <x:v>L1</x:v>
      </x:c>
      <x:c r="D658" t="str">
        <x:v>Envasado A</x:v>
      </x:c>
      <x:c r="E658" t="str">
        <x:v>Matutino</x:v>
      </x:c>
      <x:c r="F658" t="str">
        <x:v>P003</x:v>
      </x:c>
      <x:c r="G658" t="str">
        <x:v>Producto Gamma</x:v>
      </x:c>
      <x:c r="H658" t="n">
        <x:v>480</x:v>
      </x:c>
      <x:c r="I658" t="n">
        <x:v>16</x:v>
      </x:c>
      <x:c r="J658" t="n">
        <x:v>32</x:v>
      </x:c>
      <x:c r="K658" t="n">
        <x:v>432</x:v>
      </x:c>
      <x:c r="L658" t="n">
        <x:v>8</x:v>
      </x:c>
      <x:c r="M658" t="n">
        <x:v>3340</x:v>
      </x:c>
      <x:c r="N658" t="n">
        <x:v>2768</x:v>
      </x:c>
      <x:c r="O658" t="n">
        <x:v>2545</x:v>
      </x:c>
      <x:c r="P658" t="n">
        <x:v>223</x:v>
      </x:c>
    </x:row>
    <x:row r="659">
      <x:c r="A659" t="n">
        <x:v>658</x:v>
      </x:c>
      <x:c r="B659" t="str">
        <x:v>2026-09-27</x:v>
      </x:c>
      <x:c r="C659" t="str">
        <x:v>L1</x:v>
      </x:c>
      <x:c r="D659" t="str">
        <x:v>Envasado A</x:v>
      </x:c>
      <x:c r="E659" t="str">
        <x:v>Vespertino</x:v>
      </x:c>
      <x:c r="F659" t="str">
        <x:v>P002</x:v>
      </x:c>
      <x:c r="G659" t="str">
        <x:v>Producto Beta</x:v>
      </x:c>
      <x:c r="H659" t="n">
        <x:v>480</x:v>
      </x:c>
      <x:c r="I659" t="n">
        <x:v>26</x:v>
      </x:c>
      <x:c r="J659" t="n">
        <x:v>0</x:v>
      </x:c>
      <x:c r="K659" t="n">
        <x:v>454</x:v>
      </x:c>
      <x:c r="L659" t="n">
        <x:v>8</x:v>
      </x:c>
      <x:c r="M659" t="n">
        <x:v>3268</x:v>
      </x:c>
      <x:c r="N659" t="n">
        <x:v>3768</x:v>
      </x:c>
      <x:c r="O659" t="n">
        <x:v>3486</x:v>
      </x:c>
      <x:c r="P659" t="n">
        <x:v>282</x:v>
      </x:c>
    </x:row>
    <x:row r="660">
      <x:c r="A660" t="n">
        <x:v>659</x:v>
      </x:c>
      <x:c r="B660" t="str">
        <x:v>2026-09-27</x:v>
      </x:c>
      <x:c r="C660" t="str">
        <x:v>L2</x:v>
      </x:c>
      <x:c r="D660" t="str">
        <x:v>Envasado B</x:v>
      </x:c>
      <x:c r="E660" t="str">
        <x:v>Matutino</x:v>
      </x:c>
      <x:c r="F660" t="str">
        <x:v>P001</x:v>
      </x:c>
      <x:c r="G660" t="str">
        <x:v>Producto Alfa</x:v>
      </x:c>
      <x:c r="H660" t="n">
        <x:v>480</x:v>
      </x:c>
      <x:c r="I660" t="n">
        <x:v>20</x:v>
      </x:c>
      <x:c r="J660" t="n">
        <x:v>29</x:v>
      </x:c>
      <x:c r="K660" t="n">
        <x:v>431</x:v>
      </x:c>
      <x:c r="L660" t="n">
        <x:v>7.5</x:v>
      </x:c>
      <x:c r="M660" t="n">
        <x:v>3105</x:v>
      </x:c>
      <x:c r="N660" t="n">
        <x:v>3068</x:v>
      </x:c>
      <x:c r="O660" t="n">
        <x:v>2942</x:v>
      </x:c>
      <x:c r="P660" t="n">
        <x:v>126</x:v>
      </x:c>
    </x:row>
    <x:row r="661">
      <x:c r="A661" t="n">
        <x:v>660</x:v>
      </x:c>
      <x:c r="B661" t="str">
        <x:v>2026-09-27</x:v>
      </x:c>
      <x:c r="C661" t="str">
        <x:v>L2</x:v>
      </x:c>
      <x:c r="D661" t="str">
        <x:v>Envasado B</x:v>
      </x:c>
      <x:c r="E661" t="str">
        <x:v>Vespertino</x:v>
      </x:c>
      <x:c r="F661" t="str">
        <x:v>P003</x:v>
      </x:c>
      <x:c r="G661" t="str">
        <x:v>Producto Gamma</x:v>
      </x:c>
      <x:c r="H661" t="n">
        <x:v>480</x:v>
      </x:c>
      <x:c r="I661" t="n">
        <x:v>15</x:v>
      </x:c>
      <x:c r="J661" t="n">
        <x:v>7</x:v>
      </x:c>
      <x:c r="K661" t="n">
        <x:v>458</x:v>
      </x:c>
      <x:c r="L661" t="n">
        <x:v>7.5</x:v>
      </x:c>
      <x:c r="M661" t="n">
        <x:v>3138</x:v>
      </x:c>
      <x:c r="N661" t="n">
        <x:v>3084</x:v>
      </x:c>
      <x:c r="O661" t="n">
        <x:v>2896</x:v>
      </x:c>
      <x:c r="P661" t="n">
        <x:v>188</x:v>
      </x:c>
    </x:row>
    <x:row r="662">
      <x:c r="A662" t="n">
        <x:v>661</x:v>
      </x:c>
      <x:c r="B662" t="str">
        <x:v>2026-09-28</x:v>
      </x:c>
      <x:c r="C662" t="str">
        <x:v>L1</x:v>
      </x:c>
      <x:c r="D662" t="str">
        <x:v>Envasado A</x:v>
      </x:c>
      <x:c r="E662" t="str">
        <x:v>Matutino</x:v>
      </x:c>
      <x:c r="F662" t="str">
        <x:v>P003</x:v>
      </x:c>
      <x:c r="G662" t="str">
        <x:v>Producto Gamma</x:v>
      </x:c>
      <x:c r="H662" t="n">
        <x:v>480</x:v>
      </x:c>
      <x:c r="I662" t="n">
        <x:v>33</x:v>
      </x:c>
      <x:c r="J662" t="n">
        <x:v>61</x:v>
      </x:c>
      <x:c r="K662" t="n">
        <x:v>386</x:v>
      </x:c>
      <x:c r="L662" t="n">
        <x:v>8</x:v>
      </x:c>
      <x:c r="M662" t="n">
        <x:v>3218</x:v>
      </x:c>
      <x:c r="N662" t="n">
        <x:v>3073</x:v>
      </x:c>
      <x:c r="O662" t="n">
        <x:v>2954</x:v>
      </x:c>
      <x:c r="P662" t="n">
        <x:v>119</x:v>
      </x:c>
    </x:row>
    <x:row r="663">
      <x:c r="A663" t="n">
        <x:v>662</x:v>
      </x:c>
      <x:c r="B663" t="str">
        <x:v>2026-09-28</x:v>
      </x:c>
      <x:c r="C663" t="str">
        <x:v>L1</x:v>
      </x:c>
      <x:c r="D663" t="str">
        <x:v>Envasado A</x:v>
      </x:c>
      <x:c r="E663" t="str">
        <x:v>Vespertino</x:v>
      </x:c>
      <x:c r="F663" t="str">
        <x:v>P002</x:v>
      </x:c>
      <x:c r="G663" t="str">
        <x:v>Producto Beta</x:v>
      </x:c>
      <x:c r="H663" t="n">
        <x:v>480</x:v>
      </x:c>
      <x:c r="I663" t="n">
        <x:v>32</x:v>
      </x:c>
      <x:c r="J663" t="n">
        <x:v>0</x:v>
      </x:c>
      <x:c r="K663" t="n">
        <x:v>448</x:v>
      </x:c>
      <x:c r="L663" t="n">
        <x:v>8</x:v>
      </x:c>
      <x:c r="M663" t="n">
        <x:v>3225</x:v>
      </x:c>
      <x:c r="N663" t="n">
        <x:v>3193</x:v>
      </x:c>
      <x:c r="O663" t="n">
        <x:v>3042</x:v>
      </x:c>
      <x:c r="P663" t="n">
        <x:v>151</x:v>
      </x:c>
    </x:row>
    <x:row r="664">
      <x:c r="A664" t="n">
        <x:v>663</x:v>
      </x:c>
      <x:c r="B664" t="str">
        <x:v>2026-09-28</x:v>
      </x:c>
      <x:c r="C664" t="str">
        <x:v>L2</x:v>
      </x:c>
      <x:c r="D664" t="str">
        <x:v>Envasado B</x:v>
      </x:c>
      <x:c r="E664" t="str">
        <x:v>Matutino</x:v>
      </x:c>
      <x:c r="F664" t="str">
        <x:v>P001</x:v>
      </x:c>
      <x:c r="G664" t="str">
        <x:v>Producto Alfa</x:v>
      </x:c>
      <x:c r="H664" t="n">
        <x:v>480</x:v>
      </x:c>
      <x:c r="I664" t="n">
        <x:v>16</x:v>
      </x:c>
      <x:c r="J664" t="n">
        <x:v>29</x:v>
      </x:c>
      <x:c r="K664" t="n">
        <x:v>435</x:v>
      </x:c>
      <x:c r="L664" t="n">
        <x:v>7.5</x:v>
      </x:c>
      <x:c r="M664" t="n">
        <x:v>3132</x:v>
      </x:c>
      <x:c r="N664" t="n">
        <x:v>3071</x:v>
      </x:c>
      <x:c r="O664" t="n">
        <x:v>2946</x:v>
      </x:c>
      <x:c r="P664" t="n">
        <x:v>125</x:v>
      </x:c>
    </x:row>
    <x:row r="665">
      <x:c r="A665" t="n">
        <x:v>664</x:v>
      </x:c>
      <x:c r="B665" t="str">
        <x:v>2026-09-28</x:v>
      </x:c>
      <x:c r="C665" t="str">
        <x:v>L2</x:v>
      </x:c>
      <x:c r="D665" t="str">
        <x:v>Envasado B</x:v>
      </x:c>
      <x:c r="E665" t="str">
        <x:v>Vespertino</x:v>
      </x:c>
      <x:c r="F665" t="str">
        <x:v>P003</x:v>
      </x:c>
      <x:c r="G665" t="str">
        <x:v>Producto Gamma</x:v>
      </x:c>
      <x:c r="H665" t="n">
        <x:v>480</x:v>
      </x:c>
      <x:c r="I665" t="n">
        <x:v>21</x:v>
      </x:c>
      <x:c r="J665" t="n">
        <x:v>27</x:v>
      </x:c>
      <x:c r="K665" t="n">
        <x:v>432</x:v>
      </x:c>
      <x:c r="L665" t="n">
        <x:v>7.5</x:v>
      </x:c>
      <x:c r="M665" t="n">
        <x:v>3098</x:v>
      </x:c>
      <x:c r="N665" t="n">
        <x:v>2994</x:v>
      </x:c>
      <x:c r="O665" t="n">
        <x:v>2813</x:v>
      </x:c>
      <x:c r="P665" t="n">
        <x:v>181</x:v>
      </x:c>
    </x:row>
    <x:row r="666">
      <x:c r="A666" t="n">
        <x:v>665</x:v>
      </x:c>
      <x:c r="B666" t="str">
        <x:v>2026-09-28</x:v>
      </x:c>
      <x:c r="C666" t="str">
        <x:v>L3</x:v>
      </x:c>
      <x:c r="D666" t="str">
        <x:v>Empaque</x:v>
      </x:c>
      <x:c r="E666" t="str">
        <x:v>Matutino</x:v>
      </x:c>
      <x:c r="F666" t="str">
        <x:v>P001</x:v>
      </x:c>
      <x:c r="G666" t="str">
        <x:v>Producto Alfa</x:v>
      </x:c>
      <x:c r="H666" t="n">
        <x:v>480</x:v>
      </x:c>
      <x:c r="I666" t="n">
        <x:v>25</x:v>
      </x:c>
      <x:c r="J666" t="n">
        <x:v>39</x:v>
      </x:c>
      <x:c r="K666" t="n">
        <x:v>416</x:v>
      </x:c>
      <x:c r="L666" t="n">
        <x:v>8.67</x:v>
      </x:c>
      <x:c r="M666" t="n">
        <x:v>3549</x:v>
      </x:c>
      <x:c r="N666" t="n">
        <x:v>3314</x:v>
      </x:c>
      <x:c r="O666" t="n">
        <x:v>3175</x:v>
      </x:c>
      <x:c r="P666" t="n">
        <x:v>139</x:v>
      </x:c>
    </x:row>
    <x:row r="667">
      <x:c r="A667" t="n">
        <x:v>666</x:v>
      </x:c>
      <x:c r="B667" t="str">
        <x:v>2026-09-28</x:v>
      </x:c>
      <x:c r="C667" t="str">
        <x:v>L3</x:v>
      </x:c>
      <x:c r="D667" t="str">
        <x:v>Empaque</x:v>
      </x:c>
      <x:c r="E667" t="str">
        <x:v>Vespertino</x:v>
      </x:c>
      <x:c r="F667" t="str">
        <x:v>P001</x:v>
      </x:c>
      <x:c r="G667" t="str">
        <x:v>Producto Alfa</x:v>
      </x:c>
      <x:c r="H667" t="n">
        <x:v>480</x:v>
      </x:c>
      <x:c r="I667" t="n">
        <x:v>31</x:v>
      </x:c>
      <x:c r="J667" t="n">
        <x:v>16</x:v>
      </x:c>
      <x:c r="K667" t="n">
        <x:v>433</x:v>
      </x:c>
      <x:c r="L667" t="n">
        <x:v>8.67</x:v>
      </x:c>
      <x:c r="M667" t="n">
        <x:v>3502</x:v>
      </x:c>
      <x:c r="N667" t="n">
        <x:v>3690</x:v>
      </x:c>
      <x:c r="O667" t="n">
        <x:v>3455</x:v>
      </x:c>
      <x:c r="P667" t="n">
        <x:v>235</x:v>
      </x:c>
    </x:row>
    <x:row r="668">
      <x:c r="A668" t="n">
        <x:v>667</x:v>
      </x:c>
      <x:c r="B668" t="str">
        <x:v>2026-09-28</x:v>
      </x:c>
      <x:c r="C668" t="str">
        <x:v>L4</x:v>
      </x:c>
      <x:c r="D668" t="str">
        <x:v>Etiquetado</x:v>
      </x:c>
      <x:c r="E668" t="str">
        <x:v>Matutino</x:v>
      </x:c>
      <x:c r="F668" t="str">
        <x:v>P002</x:v>
      </x:c>
      <x:c r="G668" t="str">
        <x:v>Producto Beta</x:v>
      </x:c>
      <x:c r="H668" t="n">
        <x:v>480</x:v>
      </x:c>
      <x:c r="I668" t="n">
        <x:v>27</x:v>
      </x:c>
      <x:c r="J668" t="n">
        <x:v>10</x:v>
      </x:c>
      <x:c r="K668" t="n">
        <x:v>443</x:v>
      </x:c>
      <x:c r="L668" t="n">
        <x:v>10</x:v>
      </x:c>
      <x:c r="M668" t="n">
        <x:v>4077</x:v>
      </x:c>
      <x:c r="N668" t="n">
        <x:v>3938</x:v>
      </x:c>
      <x:c r="O668" t="n">
        <x:v>3644</x:v>
      </x:c>
      <x:c r="P668" t="n">
        <x:v>294</x:v>
      </x:c>
    </x:row>
    <x:row r="669">
      <x:c r="A669" t="n">
        <x:v>668</x:v>
      </x:c>
      <x:c r="B669" t="str">
        <x:v>2026-09-28</x:v>
      </x:c>
      <x:c r="C669" t="str">
        <x:v>L4</x:v>
      </x:c>
      <x:c r="D669" t="str">
        <x:v>Etiquetado</x:v>
      </x:c>
      <x:c r="E669" t="str">
        <x:v>Vespertino</x:v>
      </x:c>
      <x:c r="F669" t="str">
        <x:v>P003</x:v>
      </x:c>
      <x:c r="G669" t="str">
        <x:v>Producto Gamma</x:v>
      </x:c>
      <x:c r="H669" t="n">
        <x:v>480</x:v>
      </x:c>
      <x:c r="I669" t="n">
        <x:v>28</x:v>
      </x:c>
      <x:c r="J669" t="n">
        <x:v>81</x:v>
      </x:c>
      <x:c r="K669" t="n">
        <x:v>371</x:v>
      </x:c>
      <x:c r="L669" t="n">
        <x:v>10</x:v>
      </x:c>
      <x:c r="M669" t="n">
        <x:v>4068</x:v>
      </x:c>
      <x:c r="N669" t="n">
        <x:v>3486</x:v>
      </x:c>
      <x:c r="O669" t="n">
        <x:v>3208</x:v>
      </x:c>
      <x:c r="P669" t="n">
        <x:v>278</x:v>
      </x:c>
    </x:row>
    <x:row r="670">
      <x:c r="A670" t="n">
        <x:v>669</x:v>
      </x:c>
      <x:c r="B670" t="str">
        <x:v>2026-09-29</x:v>
      </x:c>
      <x:c r="C670" t="str">
        <x:v>L1</x:v>
      </x:c>
      <x:c r="D670" t="str">
        <x:v>Envasado A</x:v>
      </x:c>
      <x:c r="E670" t="str">
        <x:v>Matutino</x:v>
      </x:c>
      <x:c r="F670" t="str">
        <x:v>P003</x:v>
      </x:c>
      <x:c r="G670" t="str">
        <x:v>Producto Gamma</x:v>
      </x:c>
      <x:c r="H670" t="n">
        <x:v>480</x:v>
      </x:c>
      <x:c r="I670" t="n">
        <x:v>25</x:v>
      </x:c>
      <x:c r="J670" t="n">
        <x:v>54</x:v>
      </x:c>
      <x:c r="K670" t="n">
        <x:v>401</x:v>
      </x:c>
      <x:c r="L670" t="n">
        <x:v>8</x:v>
      </x:c>
      <x:c r="M670" t="n">
        <x:v>3276</x:v>
      </x:c>
      <x:c r="N670" t="n">
        <x:v>3257</x:v>
      </x:c>
      <x:c r="O670" t="n">
        <x:v>3062</x:v>
      </x:c>
      <x:c r="P670" t="n">
        <x:v>195</x:v>
      </x:c>
    </x:row>
    <x:row r="671">
      <x:c r="A671" t="n">
        <x:v>670</x:v>
      </x:c>
      <x:c r="B671" t="str">
        <x:v>2026-09-29</x:v>
      </x:c>
      <x:c r="C671" t="str">
        <x:v>L1</x:v>
      </x:c>
      <x:c r="D671" t="str">
        <x:v>Envasado A</x:v>
      </x:c>
      <x:c r="E671" t="str">
        <x:v>Vespertino</x:v>
      </x:c>
      <x:c r="F671" t="str">
        <x:v>P002</x:v>
      </x:c>
      <x:c r="G671" t="str">
        <x:v>Producto Beta</x:v>
      </x:c>
      <x:c r="H671" t="n">
        <x:v>480</x:v>
      </x:c>
      <x:c r="I671" t="n">
        <x:v>22</x:v>
      </x:c>
      <x:c r="J671" t="n">
        <x:v>0</x:v>
      </x:c>
      <x:c r="K671" t="n">
        <x:v>458</x:v>
      </x:c>
      <x:c r="L671" t="n">
        <x:v>8</x:v>
      </x:c>
      <x:c r="M671" t="n">
        <x:v>3297</x:v>
      </x:c>
      <x:c r="N671" t="n">
        <x:v>3181</x:v>
      </x:c>
      <x:c r="O671" t="n">
        <x:v>2929</x:v>
      </x:c>
      <x:c r="P671" t="n">
        <x:v>252</x:v>
      </x:c>
    </x:row>
    <x:row r="672">
      <x:c r="A672" t="n">
        <x:v>671</x:v>
      </x:c>
      <x:c r="B672" t="str">
        <x:v>2026-09-29</x:v>
      </x:c>
      <x:c r="C672" t="str">
        <x:v>L2</x:v>
      </x:c>
      <x:c r="D672" t="str">
        <x:v>Envasado B</x:v>
      </x:c>
      <x:c r="E672" t="str">
        <x:v>Matutino</x:v>
      </x:c>
      <x:c r="F672" t="str">
        <x:v>P002</x:v>
      </x:c>
      <x:c r="G672" t="str">
        <x:v>Producto Beta</x:v>
      </x:c>
      <x:c r="H672" t="n">
        <x:v>480</x:v>
      </x:c>
      <x:c r="I672" t="n">
        <x:v>24</x:v>
      </x:c>
      <x:c r="J672" t="n">
        <x:v>26</x:v>
      </x:c>
      <x:c r="K672" t="n">
        <x:v>430</x:v>
      </x:c>
      <x:c r="L672" t="n">
        <x:v>7.5</x:v>
      </x:c>
      <x:c r="M672" t="n">
        <x:v>3078</x:v>
      </x:c>
      <x:c r="N672" t="n">
        <x:v>2814</x:v>
      </x:c>
      <x:c r="O672" t="n">
        <x:v>2646</x:v>
      </x:c>
      <x:c r="P672" t="n">
        <x:v>168</x:v>
      </x:c>
    </x:row>
    <x:row r="673">
      <x:c r="A673" t="n">
        <x:v>672</x:v>
      </x:c>
      <x:c r="B673" t="str">
        <x:v>2026-09-29</x:v>
      </x:c>
      <x:c r="C673" t="str">
        <x:v>L2</x:v>
      </x:c>
      <x:c r="D673" t="str">
        <x:v>Envasado B</x:v>
      </x:c>
      <x:c r="E673" t="str">
        <x:v>Vespertino</x:v>
      </x:c>
      <x:c r="F673" t="str">
        <x:v>P003</x:v>
      </x:c>
      <x:c r="G673" t="str">
        <x:v>Producto Gamma</x:v>
      </x:c>
      <x:c r="H673" t="n">
        <x:v>480</x:v>
      </x:c>
      <x:c r="I673" t="n">
        <x:v>33</x:v>
      </x:c>
      <x:c r="J673" t="n">
        <x:v>29</x:v>
      </x:c>
      <x:c r="K673" t="n">
        <x:v>418</x:v>
      </x:c>
      <x:c r="L673" t="n">
        <x:v>7.5</x:v>
      </x:c>
      <x:c r="M673" t="n">
        <x:v>3017</x:v>
      </x:c>
      <x:c r="N673" t="n">
        <x:v>2500</x:v>
      </x:c>
      <x:c r="O673" t="n">
        <x:v>2435</x:v>
      </x:c>
      <x:c r="P673" t="n">
        <x:v>65</x:v>
      </x:c>
    </x:row>
    <x:row r="674">
      <x:c r="A674" t="n">
        <x:v>673</x:v>
      </x:c>
      <x:c r="B674" t="str">
        <x:v>2026-09-29</x:v>
      </x:c>
      <x:c r="C674" t="str">
        <x:v>L3</x:v>
      </x:c>
      <x:c r="D674" t="str">
        <x:v>Empaque</x:v>
      </x:c>
      <x:c r="E674" t="str">
        <x:v>Matutino</x:v>
      </x:c>
      <x:c r="F674" t="str">
        <x:v>P003</x:v>
      </x:c>
      <x:c r="G674" t="str">
        <x:v>Producto Gamma</x:v>
      </x:c>
      <x:c r="H674" t="n">
        <x:v>480</x:v>
      </x:c>
      <x:c r="I674" t="n">
        <x:v>16</x:v>
      </x:c>
      <x:c r="J674" t="n">
        <x:v>35</x:v>
      </x:c>
      <x:c r="K674" t="n">
        <x:v>429</x:v>
      </x:c>
      <x:c r="L674" t="n">
        <x:v>8.67</x:v>
      </x:c>
      <x:c r="M674" t="n">
        <x:v>3619</x:v>
      </x:c>
      <x:c r="N674" t="n">
        <x:v>3516</x:v>
      </x:c>
      <x:c r="O674" t="n">
        <x:v>3361</x:v>
      </x:c>
      <x:c r="P674" t="n">
        <x:v>155</x:v>
      </x:c>
    </x:row>
    <x:row r="675">
      <x:c r="A675" t="n">
        <x:v>674</x:v>
      </x:c>
      <x:c r="B675" t="str">
        <x:v>2026-09-29</x:v>
      </x:c>
      <x:c r="C675" t="str">
        <x:v>L3</x:v>
      </x:c>
      <x:c r="D675" t="str">
        <x:v>Empaque</x:v>
      </x:c>
      <x:c r="E675" t="str">
        <x:v>Vespertino</x:v>
      </x:c>
      <x:c r="F675" t="str">
        <x:v>P003</x:v>
      </x:c>
      <x:c r="G675" t="str">
        <x:v>Producto Gamma</x:v>
      </x:c>
      <x:c r="H675" t="n">
        <x:v>480</x:v>
      </x:c>
      <x:c r="I675" t="n">
        <x:v>33</x:v>
      </x:c>
      <x:c r="J675" t="n">
        <x:v>0</x:v>
      </x:c>
      <x:c r="K675" t="n">
        <x:v>447</x:v>
      </x:c>
      <x:c r="L675" t="n">
        <x:v>8.67</x:v>
      </x:c>
      <x:c r="M675" t="n">
        <x:v>3486</x:v>
      </x:c>
      <x:c r="N675" t="n">
        <x:v>3687</x:v>
      </x:c>
      <x:c r="O675" t="n">
        <x:v>3534</x:v>
      </x:c>
      <x:c r="P675" t="n">
        <x:v>153</x:v>
      </x:c>
    </x:row>
    <x:row r="676">
      <x:c r="A676" t="n">
        <x:v>675</x:v>
      </x:c>
      <x:c r="B676" t="str">
        <x:v>2026-09-29</x:v>
      </x:c>
      <x:c r="C676" t="str">
        <x:v>L4</x:v>
      </x:c>
      <x:c r="D676" t="str">
        <x:v>Etiquetado</x:v>
      </x:c>
      <x:c r="E676" t="str">
        <x:v>Matutino</x:v>
      </x:c>
      <x:c r="F676" t="str">
        <x:v>P002</x:v>
      </x:c>
      <x:c r="G676" t="str">
        <x:v>Producto Beta</x:v>
      </x:c>
      <x:c r="H676" t="n">
        <x:v>480</x:v>
      </x:c>
      <x:c r="I676" t="n">
        <x:v>17</x:v>
      </x:c>
      <x:c r="J676" t="n">
        <x:v>32</x:v>
      </x:c>
      <x:c r="K676" t="n">
        <x:v>431</x:v>
      </x:c>
      <x:c r="L676" t="n">
        <x:v>10</x:v>
      </x:c>
      <x:c r="M676" t="n">
        <x:v>4167</x:v>
      </x:c>
      <x:c r="N676" t="n">
        <x:v>4471</x:v>
      </x:c>
      <x:c r="O676" t="n">
        <x:v>4257</x:v>
      </x:c>
      <x:c r="P676" t="n">
        <x:v>214</x:v>
      </x:c>
    </x:row>
    <x:row r="677">
      <x:c r="A677" t="n">
        <x:v>676</x:v>
      </x:c>
      <x:c r="B677" t="str">
        <x:v>2026-09-29</x:v>
      </x:c>
      <x:c r="C677" t="str">
        <x:v>L4</x:v>
      </x:c>
      <x:c r="D677" t="str">
        <x:v>Etiquetado</x:v>
      </x:c>
      <x:c r="E677" t="str">
        <x:v>Vespertino</x:v>
      </x:c>
      <x:c r="F677" t="str">
        <x:v>P001</x:v>
      </x:c>
      <x:c r="G677" t="str">
        <x:v>Producto Alfa</x:v>
      </x:c>
      <x:c r="H677" t="n">
        <x:v>480</x:v>
      </x:c>
      <x:c r="I677" t="n">
        <x:v>35</x:v>
      </x:c>
      <x:c r="J677" t="n">
        <x:v>67</x:v>
      </x:c>
      <x:c r="K677" t="n">
        <x:v>378</x:v>
      </x:c>
      <x:c r="L677" t="n">
        <x:v>10</x:v>
      </x:c>
      <x:c r="M677" t="n">
        <x:v>4005</x:v>
      </x:c>
      <x:c r="N677" t="n">
        <x:v>3419</x:v>
      </x:c>
      <x:c r="O677" t="n">
        <x:v>3245</x:v>
      </x:c>
      <x:c r="P677" t="n">
        <x:v>174</x:v>
      </x:c>
    </x:row>
    <x:row r="678">
      <x:c r="A678" t="n">
        <x:v>677</x:v>
      </x:c>
      <x:c r="B678" t="str">
        <x:v>2026-09-30</x:v>
      </x:c>
      <x:c r="C678" t="str">
        <x:v>L1</x:v>
      </x:c>
      <x:c r="D678" t="str">
        <x:v>Envasado A</x:v>
      </x:c>
      <x:c r="E678" t="str">
        <x:v>Matutino</x:v>
      </x:c>
      <x:c r="F678" t="str">
        <x:v>P001</x:v>
      </x:c>
      <x:c r="G678" t="str">
        <x:v>Producto Alfa</x:v>
      </x:c>
      <x:c r="H678" t="n">
        <x:v>480</x:v>
      </x:c>
      <x:c r="I678" t="n">
        <x:v>23</x:v>
      </x:c>
      <x:c r="J678" t="n">
        <x:v>36</x:v>
      </x:c>
      <x:c r="K678" t="n">
        <x:v>421</x:v>
      </x:c>
      <x:c r="L678" t="n">
        <x:v>8</x:v>
      </x:c>
      <x:c r="M678" t="n">
        <x:v>3290</x:v>
      </x:c>
      <x:c r="N678" t="n">
        <x:v>3290</x:v>
      </x:c>
      <x:c r="O678" t="n">
        <x:v>3117</x:v>
      </x:c>
      <x:c r="P678" t="n">
        <x:v>173</x:v>
      </x:c>
    </x:row>
    <x:row r="679">
      <x:c r="A679" t="n">
        <x:v>678</x:v>
      </x:c>
      <x:c r="B679" t="str">
        <x:v>2026-09-30</x:v>
      </x:c>
      <x:c r="C679" t="str">
        <x:v>L1</x:v>
      </x:c>
      <x:c r="D679" t="str">
        <x:v>Envasado A</x:v>
      </x:c>
      <x:c r="E679" t="str">
        <x:v>Vespertino</x:v>
      </x:c>
      <x:c r="F679" t="str">
        <x:v>P003</x:v>
      </x:c>
      <x:c r="G679" t="str">
        <x:v>Producto Gamma</x:v>
      </x:c>
      <x:c r="H679" t="n">
        <x:v>480</x:v>
      </x:c>
      <x:c r="I679" t="n">
        <x:v>15</x:v>
      </x:c>
      <x:c r="J679" t="n">
        <x:v>59</x:v>
      </x:c>
      <x:c r="K679" t="n">
        <x:v>406</x:v>
      </x:c>
      <x:c r="L679" t="n">
        <x:v>8</x:v>
      </x:c>
      <x:c r="M679" t="n">
        <x:v>3348</x:v>
      </x:c>
      <x:c r="N679" t="n">
        <x:v>3105</x:v>
      </x:c>
      <x:c r="O679" t="n">
        <x:v>2961</x:v>
      </x:c>
      <x:c r="P679" t="n">
        <x:v>144</x:v>
      </x:c>
    </x:row>
    <x:row r="680">
      <x:c r="A680" t="n">
        <x:v>679</x:v>
      </x:c>
      <x:c r="B680" t="str">
        <x:v>2026-09-30</x:v>
      </x:c>
      <x:c r="C680" t="str">
        <x:v>L2</x:v>
      </x:c>
      <x:c r="D680" t="str">
        <x:v>Envasado B</x:v>
      </x:c>
      <x:c r="E680" t="str">
        <x:v>Matutino</x:v>
      </x:c>
      <x:c r="F680" t="str">
        <x:v>P002</x:v>
      </x:c>
      <x:c r="G680" t="str">
        <x:v>Producto Beta</x:v>
      </x:c>
      <x:c r="H680" t="n">
        <x:v>480</x:v>
      </x:c>
      <x:c r="I680" t="n">
        <x:v>20</x:v>
      </x:c>
      <x:c r="J680" t="n">
        <x:v>47</x:v>
      </x:c>
      <x:c r="K680" t="n">
        <x:v>413</x:v>
      </x:c>
      <x:c r="L680" t="n">
        <x:v>7.5</x:v>
      </x:c>
      <x:c r="M680" t="n">
        <x:v>3105</x:v>
      </x:c>
      <x:c r="N680" t="n">
        <x:v>2710</x:v>
      </x:c>
      <x:c r="O680" t="n">
        <x:v>2517</x:v>
      </x:c>
      <x:c r="P680" t="n">
        <x:v>193</x:v>
      </x:c>
    </x:row>
    <x:row r="681">
      <x:c r="A681" t="n">
        <x:v>680</x:v>
      </x:c>
      <x:c r="B681" t="str">
        <x:v>2026-09-30</x:v>
      </x:c>
      <x:c r="C681" t="str">
        <x:v>L2</x:v>
      </x:c>
      <x:c r="D681" t="str">
        <x:v>Envasado B</x:v>
      </x:c>
      <x:c r="E681" t="str">
        <x:v>Vespertino</x:v>
      </x:c>
      <x:c r="F681" t="str">
        <x:v>P001</x:v>
      </x:c>
      <x:c r="G681" t="str">
        <x:v>Producto Alfa</x:v>
      </x:c>
      <x:c r="H681" t="n">
        <x:v>480</x:v>
      </x:c>
      <x:c r="I681" t="n">
        <x:v>30</x:v>
      </x:c>
      <x:c r="J681" t="n">
        <x:v>47</x:v>
      </x:c>
      <x:c r="K681" t="n">
        <x:v>403</x:v>
      </x:c>
      <x:c r="L681" t="n">
        <x:v>7.5</x:v>
      </x:c>
      <x:c r="M681" t="n">
        <x:v>3037</x:v>
      </x:c>
      <x:c r="N681" t="n">
        <x:v>2793</x:v>
      </x:c>
      <x:c r="O681" t="n">
        <x:v>2638</x:v>
      </x:c>
      <x:c r="P681" t="n">
        <x:v>155</x:v>
      </x:c>
    </x:row>
    <x:row r="682">
      <x:c r="A682" t="n">
        <x:v>681</x:v>
      </x:c>
      <x:c r="B682" t="str">
        <x:v>2026-09-30</x:v>
      </x:c>
      <x:c r="C682" t="str">
        <x:v>L3</x:v>
      </x:c>
      <x:c r="D682" t="str">
        <x:v>Empaque</x:v>
      </x:c>
      <x:c r="E682" t="str">
        <x:v>Matutino</x:v>
      </x:c>
      <x:c r="F682" t="str">
        <x:v>P003</x:v>
      </x:c>
      <x:c r="G682" t="str">
        <x:v>Producto Gamma</x:v>
      </x:c>
      <x:c r="H682" t="n">
        <x:v>480</x:v>
      </x:c>
      <x:c r="I682" t="n">
        <x:v>22</x:v>
      </x:c>
      <x:c r="J682" t="n">
        <x:v>32</x:v>
      </x:c>
      <x:c r="K682" t="n">
        <x:v>426</x:v>
      </x:c>
      <x:c r="L682" t="n">
        <x:v>8.67</x:v>
      </x:c>
      <x:c r="M682" t="n">
        <x:v>3572</x:v>
      </x:c>
      <x:c r="N682" t="n">
        <x:v>3415</x:v>
      </x:c>
      <x:c r="O682" t="n">
        <x:v>3263</x:v>
      </x:c>
      <x:c r="P682" t="n">
        <x:v>152</x:v>
      </x:c>
    </x:row>
    <x:row r="683">
      <x:c r="A683" t="n">
        <x:v>682</x:v>
      </x:c>
      <x:c r="B683" t="str">
        <x:v>2026-09-30</x:v>
      </x:c>
      <x:c r="C683" t="str">
        <x:v>L3</x:v>
      </x:c>
      <x:c r="D683" t="str">
        <x:v>Empaque</x:v>
      </x:c>
      <x:c r="E683" t="str">
        <x:v>Vespertino</x:v>
      </x:c>
      <x:c r="F683" t="str">
        <x:v>P002</x:v>
      </x:c>
      <x:c r="G683" t="str">
        <x:v>Producto Beta</x:v>
      </x:c>
      <x:c r="H683" t="n">
        <x:v>480</x:v>
      </x:c>
      <x:c r="I683" t="n">
        <x:v>23</x:v>
      </x:c>
      <x:c r="J683" t="n">
        <x:v>12</x:v>
      </x:c>
      <x:c r="K683" t="n">
        <x:v>445</x:v>
      </x:c>
      <x:c r="L683" t="n">
        <x:v>8.67</x:v>
      </x:c>
      <x:c r="M683" t="n">
        <x:v>3564</x:v>
      </x:c>
      <x:c r="N683" t="n">
        <x:v>3574</x:v>
      </x:c>
      <x:c r="O683" t="n">
        <x:v>3354</x:v>
      </x:c>
      <x:c r="P683" t="n">
        <x:v>220</x:v>
      </x:c>
    </x:row>
    <x:row r="684">
      <x:c r="A684" t="n">
        <x:v>683</x:v>
      </x:c>
      <x:c r="B684" t="str">
        <x:v>2026-09-30</x:v>
      </x:c>
      <x:c r="C684" t="str">
        <x:v>L4</x:v>
      </x:c>
      <x:c r="D684" t="str">
        <x:v>Etiquetado</x:v>
      </x:c>
      <x:c r="E684" t="str">
        <x:v>Matutino</x:v>
      </x:c>
      <x:c r="F684" t="str">
        <x:v>P001</x:v>
      </x:c>
      <x:c r="G684" t="str">
        <x:v>Producto Alfa</x:v>
      </x:c>
      <x:c r="H684" t="n">
        <x:v>480</x:v>
      </x:c>
      <x:c r="I684" t="n">
        <x:v>27</x:v>
      </x:c>
      <x:c r="J684" t="n">
        <x:v>32</x:v>
      </x:c>
      <x:c r="K684" t="n">
        <x:v>421</x:v>
      </x:c>
      <x:c r="L684" t="n">
        <x:v>10</x:v>
      </x:c>
      <x:c r="M684" t="n">
        <x:v>4077</x:v>
      </x:c>
      <x:c r="N684" t="n">
        <x:v>3894</x:v>
      </x:c>
      <x:c r="O684" t="n">
        <x:v>3858</x:v>
      </x:c>
      <x:c r="P684" t="n">
        <x:v>36</x:v>
      </x:c>
    </x:row>
    <x:row r="685">
      <x:c r="A685" t="n">
        <x:v>684</x:v>
      </x:c>
      <x:c r="B685" t="str">
        <x:v>2026-09-30</x:v>
      </x:c>
      <x:c r="C685" t="str">
        <x:v>L4</x:v>
      </x:c>
      <x:c r="D685" t="str">
        <x:v>Etiquetado</x:v>
      </x:c>
      <x:c r="E685" t="str">
        <x:v>Vespertino</x:v>
      </x:c>
      <x:c r="F685" t="str">
        <x:v>P002</x:v>
      </x:c>
      <x:c r="G685" t="str">
        <x:v>Producto Beta</x:v>
      </x:c>
      <x:c r="H685" t="n">
        <x:v>480</x:v>
      </x:c>
      <x:c r="I685" t="n">
        <x:v>34</x:v>
      </x:c>
      <x:c r="J685" t="n">
        <x:v>6</x:v>
      </x:c>
      <x:c r="K685" t="n">
        <x:v>440</x:v>
      </x:c>
      <x:c r="L685" t="n">
        <x:v>10</x:v>
      </x:c>
      <x:c r="M685" t="n">
        <x:v>4014</x:v>
      </x:c>
      <x:c r="N685" t="n">
        <x:v>4421</x:v>
      </x:c>
      <x:c r="O685" t="n">
        <x:v>4145</x:v>
      </x:c>
      <x:c r="P685" t="n">
        <x:v>276</x:v>
      </x:c>
    </x:row>
  </x:sheetData>
  <x:pageMargins left="0.7" right="0.7" top="0.75" bottom="0.75" header="0.3" footer="0.3"/>
  <x:tableParts count="1">
    <x:tablePart xmlns:r="http://schemas.openxmlformats.org/officeDocument/2006/relationships" r:id="R9c4034bb9fdd43f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10" hidden="0" customWidth="1"/>
    <x:col min="8" max="8" width="18" hidden="0" customWidth="1"/>
    <x:col min="9" max="9" width="14" hidden="0" customWidth="1"/>
    <x:col min="10" max="10" width="10" hidden="0" customWidth="1"/>
    <x:col min="11" max="11" width="10" hidden="0" customWidth="1"/>
  </x:cols>
  <x:sheetData>
    <x:row r="1">
      <x:c r="A1" s="10" t="str">
        <x:v>id</x:v>
      </x:c>
      <x:c r="B1" s="10" t="str">
        <x:v>fecha</x:v>
      </x:c>
      <x:c r="C1" s="10" t="str">
        <x:v>linea_id</x:v>
      </x:c>
      <x:c r="D1" s="10" t="str">
        <x:v>linea</x:v>
      </x:c>
      <x:c r="E1" s="10" t="str">
        <x:v>turno</x:v>
      </x:c>
      <x:c r="F1" s="10" t="str">
        <x:v>codigo_causa</x:v>
      </x:c>
      <x:c r="G1" s="10" t="str">
        <x:v>causa</x:v>
      </x:c>
      <x:c r="H1" s="10" t="str">
        <x:v>area_responsable</x:v>
      </x:c>
      <x:c r="I1" s="10" t="str">
        <x:v>duracion_min</x:v>
      </x:c>
      <x:c r="J1" s="10" t="str">
        <x:v>estatus</x:v>
      </x:c>
      <x:c r="K1" s="10" t="str">
        <x:v>accion</x:v>
      </x:c>
    </x:row>
    <x:row r="2">
      <x:c r="A2" s="11" t="n">
        <x:v>1</x:v>
      </x:c>
      <x:c r="B2" s="11" t="str">
        <x:v>2026-07-01</x:v>
      </x:c>
      <x:c r="C2" s="11" t="str">
        <x:v>L1</x:v>
      </x:c>
      <x:c r="D2" s="11" t="str">
        <x:v>Envasado A</x:v>
      </x:c>
      <x:c r="E2" s="11" t="str">
        <x:v>Matutino</x:v>
      </x:c>
      <x:c r="F2" s="11" t="str">
        <x:v>CAM</x:v>
      </x:c>
      <x:c r="G2" s="11" t="str">
        <x:v>Cambio de formato</x:v>
      </x:c>
      <x:c r="H2" s="11" t="str">
        <x:v>Producción</x:v>
      </x:c>
      <x:c r="I2" s="11" t="n">
        <x:v>45</x:v>
      </x:c>
      <x:c r="J2" s="11" t="str">
        <x:v>Cerrada</x:v>
      </x:c>
      <x:c r="K2" s="11" t="str">
        <x:v>Inspección y liberación</x:v>
      </x:c>
    </x:row>
    <x:row r="3">
      <x:c r="A3" s="11" t="n">
        <x:v>2</x:v>
      </x:c>
      <x:c r="B3" s="11" t="str">
        <x:v>2026-07-01</x:v>
      </x:c>
      <x:c r="C3" s="11" t="str">
        <x:v>L1</x:v>
      </x:c>
      <x:c r="D3" s="11" t="str">
        <x:v>Envasado A</x:v>
      </x:c>
      <x:c r="E3" s="11" t="str">
        <x:v>Vespertino</x:v>
      </x:c>
      <x:c r="F3" s="11" t="str">
        <x:v>MEC</x:v>
      </x:c>
      <x:c r="G3" s="11" t="str">
        <x:v>Falla mecánica</x:v>
      </x:c>
      <x:c r="H3" s="11" t="str">
        <x:v>Mantenimiento</x:v>
      </x:c>
      <x:c r="I3" s="11" t="n">
        <x:v>13</x:v>
      </x:c>
      <x:c r="J3" s="11" t="str">
        <x:v>Abierta</x:v>
      </x:c>
      <x:c r="K3" s="11" t="str">
        <x:v>Reinicio controlado</x:v>
      </x:c>
    </x:row>
    <x:row r="4">
      <x:c r="A4" s="11" t="n">
        <x:v>3</x:v>
      </x:c>
      <x:c r="B4" s="11" t="str">
        <x:v>2026-07-01</x:v>
      </x:c>
      <x:c r="C4" s="11" t="str">
        <x:v>L1</x:v>
      </x:c>
      <x:c r="D4" s="11" t="str">
        <x:v>Envasado A</x:v>
      </x:c>
      <x:c r="E4" s="11" t="str">
        <x:v>Vespertino</x:v>
      </x:c>
      <x:c r="F4" s="11" t="str">
        <x:v>ELE</x:v>
      </x:c>
      <x:c r="G4" s="11" t="str">
        <x:v>Falla eléctrica</x:v>
      </x:c>
      <x:c r="H4" s="11" t="str">
        <x:v>Mantenimiento</x:v>
      </x:c>
      <x:c r="I4" s="11" t="n">
        <x:v>14</x:v>
      </x:c>
      <x:c r="J4" s="11" t="str">
        <x:v>Cerrada</x:v>
      </x:c>
      <x:c r="K4" s="11" t="str">
        <x:v>Inspección y liberación</x:v>
      </x:c>
    </x:row>
    <x:row r="5">
      <x:c r="A5" s="11" t="n">
        <x:v>4</x:v>
      </x:c>
      <x:c r="B5" s="11" t="str">
        <x:v>2026-07-01</x:v>
      </x:c>
      <x:c r="C5" s="11" t="str">
        <x:v>L1</x:v>
      </x:c>
      <x:c r="D5" s="11" t="str">
        <x:v>Envasado A</x:v>
      </x:c>
      <x:c r="E5" s="11" t="str">
        <x:v>Vespertino</x:v>
      </x:c>
      <x:c r="F5" s="11" t="str">
        <x:v>CAL</x:v>
      </x:c>
      <x:c r="G5" s="11" t="str">
        <x:v>Ajuste de calidad</x:v>
      </x:c>
      <x:c r="H5" s="11" t="str">
        <x:v>Calidad</x:v>
      </x:c>
      <x:c r="I5" s="11" t="n">
        <x:v>36</x:v>
      </x:c>
      <x:c r="J5" s="11" t="str">
        <x:v>Cerrada</x:v>
      </x:c>
      <x:c r="K5" s="11" t="str">
        <x:v>Reinicio controlado</x:v>
      </x:c>
    </x:row>
    <x:row r="6">
      <x:c r="A6" s="11" t="n">
        <x:v>5</x:v>
      </x:c>
      <x:c r="B6" s="11" t="str">
        <x:v>2026-07-01</x:v>
      </x:c>
      <x:c r="C6" s="11" t="str">
        <x:v>L2</x:v>
      </x:c>
      <x:c r="D6" s="11" t="str">
        <x:v>Envasado B</x:v>
      </x:c>
      <x:c r="E6" s="11" t="str">
        <x:v>Matutino</x:v>
      </x:c>
      <x:c r="F6" s="11" t="str">
        <x:v>MAT</x:v>
      </x:c>
      <x:c r="G6" s="11" t="str">
        <x:v>Falta de material</x:v>
      </x:c>
      <x:c r="H6" s="11" t="str">
        <x:v>Logística</x:v>
      </x:c>
      <x:c r="I6" s="11" t="n">
        <x:v>33</x:v>
      </x:c>
      <x:c r="J6" s="11" t="str">
        <x:v>Cerrada</x:v>
      </x:c>
      <x:c r="K6" s="11" t="str">
        <x:v>Ajuste y prueba</x:v>
      </x:c>
    </x:row>
    <x:row r="7">
      <x:c r="A7" s="11" t="n">
        <x:v>6</x:v>
      </x:c>
      <x:c r="B7" s="11" t="str">
        <x:v>2026-07-01</x:v>
      </x:c>
      <x:c r="C7" s="11" t="str">
        <x:v>L2</x:v>
      </x:c>
      <x:c r="D7" s="11" t="str">
        <x:v>Envasado B</x:v>
      </x:c>
      <x:c r="E7" s="11" t="str">
        <x:v>Vespertino</x:v>
      </x:c>
      <x:c r="F7" s="11" t="str">
        <x:v>MEC</x:v>
      </x:c>
      <x:c r="G7" s="11" t="str">
        <x:v>Falla mecánica</x:v>
      </x:c>
      <x:c r="H7" s="11" t="str">
        <x:v>Mantenimiento</x:v>
      </x:c>
      <x:c r="I7" s="11" t="n">
        <x:v>30</x:v>
      </x:c>
      <x:c r="J7" s="11" t="str">
        <x:v>Cerrada</x:v>
      </x:c>
      <x:c r="K7" s="11" t="str">
        <x:v>Inspección y liberación</x:v>
      </x:c>
    </x:row>
    <x:row r="8">
      <x:c r="A8" s="11" t="n">
        <x:v>7</x:v>
      </x:c>
      <x:c r="B8" s="11" t="str">
        <x:v>2026-07-01</x:v>
      </x:c>
      <x:c r="C8" s="11" t="str">
        <x:v>L3</x:v>
      </x:c>
      <x:c r="D8" s="11" t="str">
        <x:v>Empaque</x:v>
      </x:c>
      <x:c r="E8" s="11" t="str">
        <x:v>Matutino</x:v>
      </x:c>
      <x:c r="F8" s="11" t="str">
        <x:v>CAL</x:v>
      </x:c>
      <x:c r="G8" s="11" t="str">
        <x:v>Ajuste de calidad</x:v>
      </x:c>
      <x:c r="H8" s="11" t="str">
        <x:v>Calidad</x:v>
      </x:c>
      <x:c r="I8" s="11" t="n">
        <x:v>28</x:v>
      </x:c>
      <x:c r="J8" s="11" t="str">
        <x:v>Cerrada</x:v>
      </x:c>
      <x:c r="K8" s="11" t="str">
        <x:v>Cambio de componente</x:v>
      </x:c>
    </x:row>
    <x:row r="9">
      <x:c r="A9" s="11" t="n">
        <x:v>8</x:v>
      </x:c>
      <x:c r="B9" s="11" t="str">
        <x:v>2026-07-01</x:v>
      </x:c>
      <x:c r="C9" s="11" t="str">
        <x:v>L3</x:v>
      </x:c>
      <x:c r="D9" s="11" t="str">
        <x:v>Empaque</x:v>
      </x:c>
      <x:c r="E9" s="11" t="str">
        <x:v>Vespertino</x:v>
      </x:c>
      <x:c r="F9" s="11" t="str">
        <x:v>MEC</x:v>
      </x:c>
      <x:c r="G9" s="11" t="str">
        <x:v>Falla mecánica</x:v>
      </x:c>
      <x:c r="H9" s="11" t="str">
        <x:v>Mantenimiento</x:v>
      </x:c>
      <x:c r="I9" s="11" t="n">
        <x:v>36</x:v>
      </x:c>
      <x:c r="J9" s="11" t="str">
        <x:v>Cerrada</x:v>
      </x:c>
      <x:c r="K9" s="11" t="str">
        <x:v>Ajuste y prueba</x:v>
      </x:c>
    </x:row>
    <x:row r="10">
      <x:c r="A10" s="11" t="n">
        <x:v>9</x:v>
      </x:c>
      <x:c r="B10" s="11" t="str">
        <x:v>2026-07-02</x:v>
      </x:c>
      <x:c r="C10" s="11" t="str">
        <x:v>L1</x:v>
      </x:c>
      <x:c r="D10" s="11" t="str">
        <x:v>Envasado A</x:v>
      </x:c>
      <x:c r="E10" s="11" t="str">
        <x:v>Vespertino</x:v>
      </x:c>
      <x:c r="F10" s="11" t="str">
        <x:v>CAM</x:v>
      </x:c>
      <x:c r="G10" s="11" t="str">
        <x:v>Cambio de formato</x:v>
      </x:c>
      <x:c r="H10" s="11" t="str">
        <x:v>Producción</x:v>
      </x:c>
      <x:c r="I10" s="11" t="n">
        <x:v>32</x:v>
      </x:c>
      <x:c r="J10" s="11" t="str">
        <x:v>Abierta</x:v>
      </x:c>
      <x:c r="K10" s="11" t="str">
        <x:v>Reinicio controlado</x:v>
      </x:c>
    </x:row>
    <x:row r="11">
      <x:c r="A11" s="11" t="n">
        <x:v>10</x:v>
      </x:c>
      <x:c r="B11" s="11" t="str">
        <x:v>2026-07-02</x:v>
      </x:c>
      <x:c r="C11" s="11" t="str">
        <x:v>L2</x:v>
      </x:c>
      <x:c r="D11" s="11" t="str">
        <x:v>Envasado B</x:v>
      </x:c>
      <x:c r="E11" s="11" t="str">
        <x:v>Vespertino</x:v>
      </x:c>
      <x:c r="F11" s="11" t="str">
        <x:v>MEC</x:v>
      </x:c>
      <x:c r="G11" s="11" t="str">
        <x:v>Falla mecánica</x:v>
      </x:c>
      <x:c r="H11" s="11" t="str">
        <x:v>Mantenimiento</x:v>
      </x:c>
      <x:c r="I11" s="11" t="n">
        <x:v>14</x:v>
      </x:c>
      <x:c r="J11" s="11" t="str">
        <x:v>Abierta</x:v>
      </x:c>
      <x:c r="K11" s="11" t="str">
        <x:v>Cambio de componente</x:v>
      </x:c>
    </x:row>
    <x:row r="12">
      <x:c r="A12" s="11" t="n">
        <x:v>11</x:v>
      </x:c>
      <x:c r="B12" s="11" t="str">
        <x:v>2026-07-02</x:v>
      </x:c>
      <x:c r="C12" s="11" t="str">
        <x:v>L2</x:v>
      </x:c>
      <x:c r="D12" s="11" t="str">
        <x:v>Envasado B</x:v>
      </x:c>
      <x:c r="E12" s="11" t="str">
        <x:v>Vespertino</x:v>
      </x:c>
      <x:c r="F12" s="11" t="str">
        <x:v>MAT</x:v>
      </x:c>
      <x:c r="G12" s="11" t="str">
        <x:v>Falta de material</x:v>
      </x:c>
      <x:c r="H12" s="11" t="str">
        <x:v>Logística</x:v>
      </x:c>
      <x:c r="I12" s="11" t="n">
        <x:v>13</x:v>
      </x:c>
      <x:c r="J12" s="11" t="str">
        <x:v>Abierta</x:v>
      </x:c>
      <x:c r="K12" s="11" t="str">
        <x:v>Abastecimiento</x:v>
      </x:c>
    </x:row>
    <x:row r="13">
      <x:c r="A13" s="11" t="n">
        <x:v>12</x:v>
      </x:c>
      <x:c r="B13" s="11" t="str">
        <x:v>2026-07-02</x:v>
      </x:c>
      <x:c r="C13" s="11" t="str">
        <x:v>L2</x:v>
      </x:c>
      <x:c r="D13" s="11" t="str">
        <x:v>Envasado B</x:v>
      </x:c>
      <x:c r="E13" s="11" t="str">
        <x:v>Vespertino</x:v>
      </x:c>
      <x:c r="F13" s="11" t="str">
        <x:v>MEC</x:v>
      </x:c>
      <x:c r="G13" s="11" t="str">
        <x:v>Falla mecánica</x:v>
      </x:c>
      <x:c r="H13" s="11" t="str">
        <x:v>Mantenimiento</x:v>
      </x:c>
      <x:c r="I13" s="11" t="n">
        <x:v>18</x:v>
      </x:c>
      <x:c r="J13" s="11" t="str">
        <x:v>Cerrada</x:v>
      </x:c>
      <x:c r="K13" s="11" t="str">
        <x:v>Abastecimiento</x:v>
      </x:c>
    </x:row>
    <x:row r="14">
      <x:c r="A14" s="11" t="n">
        <x:v>13</x:v>
      </x:c>
      <x:c r="B14" s="11" t="str">
        <x:v>2026-07-02</x:v>
      </x:c>
      <x:c r="C14" s="11" t="str">
        <x:v>L3</x:v>
      </x:c>
      <x:c r="D14" s="11" t="str">
        <x:v>Empaque</x:v>
      </x:c>
      <x:c r="E14" s="11" t="str">
        <x:v>Matutino</x:v>
      </x:c>
      <x:c r="F14" s="11" t="str">
        <x:v>CAM</x:v>
      </x:c>
      <x:c r="G14" s="11" t="str">
        <x:v>Cambio de formato</x:v>
      </x:c>
      <x:c r="H14" s="11" t="str">
        <x:v>Producción</x:v>
      </x:c>
      <x:c r="I14" s="11" t="n">
        <x:v>10</x:v>
      </x:c>
      <x:c r="J14" s="11" t="str">
        <x:v>Cerrada</x:v>
      </x:c>
      <x:c r="K14" s="11" t="str">
        <x:v>Reinicio controlado</x:v>
      </x:c>
    </x:row>
    <x:row r="15">
      <x:c r="A15" s="11" t="n">
        <x:v>14</x:v>
      </x:c>
      <x:c r="B15" s="11" t="str">
        <x:v>2026-07-02</x:v>
      </x:c>
      <x:c r="C15" s="11" t="str">
        <x:v>L3</x:v>
      </x:c>
      <x:c r="D15" s="11" t="str">
        <x:v>Empaque</x:v>
      </x:c>
      <x:c r="E15" s="11" t="str">
        <x:v>Vespertino</x:v>
      </x:c>
      <x:c r="F15" s="11" t="str">
        <x:v>CAL</x:v>
      </x:c>
      <x:c r="G15" s="11" t="str">
        <x:v>Ajuste de calidad</x:v>
      </x:c>
      <x:c r="H15" s="11" t="str">
        <x:v>Calidad</x:v>
      </x:c>
      <x:c r="I15" s="11" t="n">
        <x:v>52</x:v>
      </x:c>
      <x:c r="J15" s="11" t="str">
        <x:v>Cerrada</x:v>
      </x:c>
      <x:c r="K15" s="11" t="str">
        <x:v>Cambio de componente</x:v>
      </x:c>
    </x:row>
    <x:row r="16">
      <x:c r="A16" s="11" t="n">
        <x:v>15</x:v>
      </x:c>
      <x:c r="B16" s="11" t="str">
        <x:v>2026-07-02</x:v>
      </x:c>
      <x:c r="C16" s="11" t="str">
        <x:v>L4</x:v>
      </x:c>
      <x:c r="D16" s="11" t="str">
        <x:v>Etiquetado</x:v>
      </x:c>
      <x:c r="E16" s="11" t="str">
        <x:v>Matutino</x:v>
      </x:c>
      <x:c r="F16" s="11" t="str">
        <x:v>MAT</x:v>
      </x:c>
      <x:c r="G16" s="11" t="str">
        <x:v>Falta de material</x:v>
      </x:c>
      <x:c r="H16" s="11" t="str">
        <x:v>Logística</x:v>
      </x:c>
      <x:c r="I16" s="11" t="n">
        <x:v>28</x:v>
      </x:c>
      <x:c r="J16" s="11" t="str">
        <x:v>Cerrada</x:v>
      </x:c>
      <x:c r="K16" s="11" t="str">
        <x:v>Reinicio controlado</x:v>
      </x:c>
    </x:row>
    <x:row r="17">
      <x:c r="A17" s="11" t="n">
        <x:v>16</x:v>
      </x:c>
      <x:c r="B17" s="11" t="str">
        <x:v>2026-07-02</x:v>
      </x:c>
      <x:c r="C17" s="11" t="str">
        <x:v>L4</x:v>
      </x:c>
      <x:c r="D17" s="11" t="str">
        <x:v>Etiquetado</x:v>
      </x:c>
      <x:c r="E17" s="11" t="str">
        <x:v>Vespertino</x:v>
      </x:c>
      <x:c r="F17" s="11" t="str">
        <x:v>ELE</x:v>
      </x:c>
      <x:c r="G17" s="11" t="str">
        <x:v>Falla eléctrica</x:v>
      </x:c>
      <x:c r="H17" s="11" t="str">
        <x:v>Mantenimiento</x:v>
      </x:c>
      <x:c r="I17" s="11" t="n">
        <x:v>43</x:v>
      </x:c>
      <x:c r="J17" s="11" t="str">
        <x:v>Cerrada</x:v>
      </x:c>
      <x:c r="K17" s="11" t="str">
        <x:v>Ajuste y prueba</x:v>
      </x:c>
    </x:row>
    <x:row r="18">
      <x:c r="A18" s="11" t="n">
        <x:v>17</x:v>
      </x:c>
      <x:c r="B18" s="11" t="str">
        <x:v>2026-07-03</x:v>
      </x:c>
      <x:c r="C18" s="11" t="str">
        <x:v>L1</x:v>
      </x:c>
      <x:c r="D18" s="11" t="str">
        <x:v>Envasado A</x:v>
      </x:c>
      <x:c r="E18" s="11" t="str">
        <x:v>Vespertino</x:v>
      </x:c>
      <x:c r="F18" s="11" t="str">
        <x:v>MAT</x:v>
      </x:c>
      <x:c r="G18" s="11" t="str">
        <x:v>Falta de material</x:v>
      </x:c>
      <x:c r="H18" s="11" t="str">
        <x:v>Logística</x:v>
      </x:c>
      <x:c r="I18" s="11" t="n">
        <x:v>32</x:v>
      </x:c>
      <x:c r="J18" s="11" t="str">
        <x:v>Cerrada</x:v>
      </x:c>
      <x:c r="K18" s="11" t="str">
        <x:v>Abastecimiento</x:v>
      </x:c>
    </x:row>
    <x:row r="19">
      <x:c r="A19" s="11" t="n">
        <x:v>18</x:v>
      </x:c>
      <x:c r="B19" s="11" t="str">
        <x:v>2026-07-03</x:v>
      </x:c>
      <x:c r="C19" s="11" t="str">
        <x:v>L2</x:v>
      </x:c>
      <x:c r="D19" s="11" t="str">
        <x:v>Envasado B</x:v>
      </x:c>
      <x:c r="E19" s="11" t="str">
        <x:v>Matutino</x:v>
      </x:c>
      <x:c r="F19" s="11" t="str">
        <x:v>MAT</x:v>
      </x:c>
      <x:c r="G19" s="11" t="str">
        <x:v>Falta de material</x:v>
      </x:c>
      <x:c r="H19" s="11" t="str">
        <x:v>Logística</x:v>
      </x:c>
      <x:c r="I19" s="11" t="n">
        <x:v>15</x:v>
      </x:c>
      <x:c r="J19" s="11" t="str">
        <x:v>Cerrada</x:v>
      </x:c>
      <x:c r="K19" s="11" t="str">
        <x:v>Reinicio controlado</x:v>
      </x:c>
    </x:row>
    <x:row r="20">
      <x:c r="A20" s="11" t="n">
        <x:v>19</x:v>
      </x:c>
      <x:c r="B20" s="11" t="str">
        <x:v>2026-07-03</x:v>
      </x:c>
      <x:c r="C20" s="11" t="str">
        <x:v>L2</x:v>
      </x:c>
      <x:c r="D20" s="11" t="str">
        <x:v>Envasado B</x:v>
      </x:c>
      <x:c r="E20" s="11" t="str">
        <x:v>Vespertino</x:v>
      </x:c>
      <x:c r="F20" s="11" t="str">
        <x:v>CAL</x:v>
      </x:c>
      <x:c r="G20" s="11" t="str">
        <x:v>Ajuste de calidad</x:v>
      </x:c>
      <x:c r="H20" s="11" t="str">
        <x:v>Calidad</x:v>
      </x:c>
      <x:c r="I20" s="11" t="n">
        <x:v>27</x:v>
      </x:c>
      <x:c r="J20" s="11" t="str">
        <x:v>Abierta</x:v>
      </x:c>
      <x:c r="K20" s="11" t="str">
        <x:v>Cambio de componente</x:v>
      </x:c>
    </x:row>
    <x:row r="21">
      <x:c r="A21" s="11" t="n">
        <x:v>20</x:v>
      </x:c>
      <x:c r="B21" s="11" t="str">
        <x:v>2026-07-03</x:v>
      </x:c>
      <x:c r="C21" s="11" t="str">
        <x:v>L3</x:v>
      </x:c>
      <x:c r="D21" s="11" t="str">
        <x:v>Empaque</x:v>
      </x:c>
      <x:c r="E21" s="11" t="str">
        <x:v>Matutino</x:v>
      </x:c>
      <x:c r="F21" s="11" t="str">
        <x:v>MEC</x:v>
      </x:c>
      <x:c r="G21" s="11" t="str">
        <x:v>Falla mecánica</x:v>
      </x:c>
      <x:c r="H21" s="11" t="str">
        <x:v>Mantenimiento</x:v>
      </x:c>
      <x:c r="I21" s="11" t="n">
        <x:v>10</x:v>
      </x:c>
      <x:c r="J21" s="11" t="str">
        <x:v>Abierta</x:v>
      </x:c>
      <x:c r="K21" s="11" t="str">
        <x:v>Reinicio controlado</x:v>
      </x:c>
    </x:row>
    <x:row r="22">
      <x:c r="A22" s="11" t="n">
        <x:v>21</x:v>
      </x:c>
      <x:c r="B22" s="11" t="str">
        <x:v>2026-07-03</x:v>
      </x:c>
      <x:c r="C22" s="11" t="str">
        <x:v>L3</x:v>
      </x:c>
      <x:c r="D22" s="11" t="str">
        <x:v>Empaque</x:v>
      </x:c>
      <x:c r="E22" s="11" t="str">
        <x:v>Vespertino</x:v>
      </x:c>
      <x:c r="F22" s="11" t="str">
        <x:v>CAL</x:v>
      </x:c>
      <x:c r="G22" s="11" t="str">
        <x:v>Ajuste de calidad</x:v>
      </x:c>
      <x:c r="H22" s="11" t="str">
        <x:v>Calidad</x:v>
      </x:c>
      <x:c r="I22" s="11" t="n">
        <x:v>13</x:v>
      </x:c>
      <x:c r="J22" s="11" t="str">
        <x:v>Cerrada</x:v>
      </x:c>
      <x:c r="K22" s="11" t="str">
        <x:v>Inspección y liberación</x:v>
      </x:c>
    </x:row>
    <x:row r="23">
      <x:c r="A23" s="11" t="n">
        <x:v>22</x:v>
      </x:c>
      <x:c r="B23" s="11" t="str">
        <x:v>2026-07-03</x:v>
      </x:c>
      <x:c r="C23" s="11" t="str">
        <x:v>L4</x:v>
      </x:c>
      <x:c r="D23" s="11" t="str">
        <x:v>Etiquetado</x:v>
      </x:c>
      <x:c r="E23" s="11" t="str">
        <x:v>Matutino</x:v>
      </x:c>
      <x:c r="F23" s="11" t="str">
        <x:v>ELE</x:v>
      </x:c>
      <x:c r="G23" s="11" t="str">
        <x:v>Falla eléctrica</x:v>
      </x:c>
      <x:c r="H23" s="11" t="str">
        <x:v>Mantenimiento</x:v>
      </x:c>
      <x:c r="I23" s="11" t="n">
        <x:v>16</x:v>
      </x:c>
      <x:c r="J23" s="11" t="str">
        <x:v>Abierta</x:v>
      </x:c>
      <x:c r="K23" s="11" t="str">
        <x:v>Abastecimiento</x:v>
      </x:c>
    </x:row>
    <x:row r="24">
      <x:c r="A24" s="11" t="n">
        <x:v>23</x:v>
      </x:c>
      <x:c r="B24" s="11" t="str">
        <x:v>2026-07-03</x:v>
      </x:c>
      <x:c r="C24" s="11" t="str">
        <x:v>L4</x:v>
      </x:c>
      <x:c r="D24" s="11" t="str">
        <x:v>Etiquetado</x:v>
      </x:c>
      <x:c r="E24" s="11" t="str">
        <x:v>Vespertino</x:v>
      </x:c>
      <x:c r="F24" s="11" t="str">
        <x:v>CAM</x:v>
      </x:c>
      <x:c r="G24" s="11" t="str">
        <x:v>Cambio de formato</x:v>
      </x:c>
      <x:c r="H24" s="11" t="str">
        <x:v>Producción</x:v>
      </x:c>
      <x:c r="I24" s="11" t="n">
        <x:v>25</x:v>
      </x:c>
      <x:c r="J24" s="11" t="str">
        <x:v>Cerrada</x:v>
      </x:c>
      <x:c r="K24" s="11" t="str">
        <x:v>Abastecimiento</x:v>
      </x:c>
    </x:row>
    <x:row r="25">
      <x:c r="A25" s="11" t="n">
        <x:v>24</x:v>
      </x:c>
      <x:c r="B25" s="11" t="str">
        <x:v>2026-07-03</x:v>
      </x:c>
      <x:c r="C25" s="11" t="str">
        <x:v>L4</x:v>
      </x:c>
      <x:c r="D25" s="11" t="str">
        <x:v>Etiquetado</x:v>
      </x:c>
      <x:c r="E25" s="11" t="str">
        <x:v>Vespertino</x:v>
      </x:c>
      <x:c r="F25" s="11" t="str">
        <x:v>MEC</x:v>
      </x:c>
      <x:c r="G25" s="11" t="str">
        <x:v>Falla mecánica</x:v>
      </x:c>
      <x:c r="H25" s="11" t="str">
        <x:v>Mantenimiento</x:v>
      </x:c>
      <x:c r="I25" s="11" t="n">
        <x:v>17</x:v>
      </x:c>
      <x:c r="J25" s="11" t="str">
        <x:v>Cerrada</x:v>
      </x:c>
      <x:c r="K25" s="11" t="str">
        <x:v>Ajuste y prueba</x:v>
      </x:c>
    </x:row>
    <x:row r="26">
      <x:c r="A26" s="11" t="n">
        <x:v>25</x:v>
      </x:c>
      <x:c r="B26" s="11" t="str">
        <x:v>2026-07-03</x:v>
      </x:c>
      <x:c r="C26" s="11" t="str">
        <x:v>L4</x:v>
      </x:c>
      <x:c r="D26" s="11" t="str">
        <x:v>Etiquetado</x:v>
      </x:c>
      <x:c r="E26" s="11" t="str">
        <x:v>Vespertino</x:v>
      </x:c>
      <x:c r="F26" s="11" t="str">
        <x:v>CAL</x:v>
      </x:c>
      <x:c r="G26" s="11" t="str">
        <x:v>Ajuste de calidad</x:v>
      </x:c>
      <x:c r="H26" s="11" t="str">
        <x:v>Calidad</x:v>
      </x:c>
      <x:c r="I26" s="11" t="n">
        <x:v>17</x:v>
      </x:c>
      <x:c r="J26" s="11" t="str">
        <x:v>Cerrada</x:v>
      </x:c>
      <x:c r="K26" s="11" t="str">
        <x:v>Ajuste y prueba</x:v>
      </x:c>
    </x:row>
    <x:row r="27">
      <x:c r="A27" s="11" t="n">
        <x:v>26</x:v>
      </x:c>
      <x:c r="B27" s="11" t="str">
        <x:v>2026-07-04</x:v>
      </x:c>
      <x:c r="C27" s="11" t="str">
        <x:v>L1</x:v>
      </x:c>
      <x:c r="D27" s="11" t="str">
        <x:v>Envasado A</x:v>
      </x:c>
      <x:c r="E27" s="11" t="str">
        <x:v>Matutino</x:v>
      </x:c>
      <x:c r="F27" s="11" t="str">
        <x:v>ELE</x:v>
      </x:c>
      <x:c r="G27" s="11" t="str">
        <x:v>Falla eléctrica</x:v>
      </x:c>
      <x:c r="H27" s="11" t="str">
        <x:v>Mantenimiento</x:v>
      </x:c>
      <x:c r="I27" s="11" t="n">
        <x:v>13</x:v>
      </x:c>
      <x:c r="J27" s="11" t="str">
        <x:v>Cerrada</x:v>
      </x:c>
      <x:c r="K27" s="11" t="str">
        <x:v>Cambio de componente</x:v>
      </x:c>
    </x:row>
    <x:row r="28">
      <x:c r="A28" s="11" t="n">
        <x:v>27</x:v>
      </x:c>
      <x:c r="B28" s="11" t="str">
        <x:v>2026-07-04</x:v>
      </x:c>
      <x:c r="C28" s="11" t="str">
        <x:v>L1</x:v>
      </x:c>
      <x:c r="D28" s="11" t="str">
        <x:v>Envasado A</x:v>
      </x:c>
      <x:c r="E28" s="11" t="str">
        <x:v>Matutino</x:v>
      </x:c>
      <x:c r="F28" s="11" t="str">
        <x:v>MEC</x:v>
      </x:c>
      <x:c r="G28" s="11" t="str">
        <x:v>Falla mecánica</x:v>
      </x:c>
      <x:c r="H28" s="11" t="str">
        <x:v>Mantenimiento</x:v>
      </x:c>
      <x:c r="I28" s="11" t="n">
        <x:v>12</x:v>
      </x:c>
      <x:c r="J28" s="11" t="str">
        <x:v>Cerrada</x:v>
      </x:c>
      <x:c r="K28" s="11" t="str">
        <x:v>Ajuste y prueba</x:v>
      </x:c>
    </x:row>
    <x:row r="29">
      <x:c r="A29" s="11" t="n">
        <x:v>28</x:v>
      </x:c>
      <x:c r="B29" s="11" t="str">
        <x:v>2026-07-04</x:v>
      </x:c>
      <x:c r="C29" s="11" t="str">
        <x:v>L1</x:v>
      </x:c>
      <x:c r="D29" s="11" t="str">
        <x:v>Envasado A</x:v>
      </x:c>
      <x:c r="E29" s="11" t="str">
        <x:v>Matutino</x:v>
      </x:c>
      <x:c r="F29" s="11" t="str">
        <x:v>CAM</x:v>
      </x:c>
      <x:c r="G29" s="11" t="str">
        <x:v>Cambio de formato</x:v>
      </x:c>
      <x:c r="H29" s="11" t="str">
        <x:v>Producción</x:v>
      </x:c>
      <x:c r="I29" s="11" t="n">
        <x:v>39</x:v>
      </x:c>
      <x:c r="J29" s="11" t="str">
        <x:v>Cerrada</x:v>
      </x:c>
      <x:c r="K29" s="11" t="str">
        <x:v>Cambio de componente</x:v>
      </x:c>
    </x:row>
    <x:row r="30">
      <x:c r="A30" s="11" t="n">
        <x:v>29</x:v>
      </x:c>
      <x:c r="B30" s="11" t="str">
        <x:v>2026-07-04</x:v>
      </x:c>
      <x:c r="C30" s="11" t="str">
        <x:v>L1</x:v>
      </x:c>
      <x:c r="D30" s="11" t="str">
        <x:v>Envasado A</x:v>
      </x:c>
      <x:c r="E30" s="11" t="str">
        <x:v>Vespertino</x:v>
      </x:c>
      <x:c r="F30" s="11" t="str">
        <x:v>CAL</x:v>
      </x:c>
      <x:c r="G30" s="11" t="str">
        <x:v>Ajuste de calidad</x:v>
      </x:c>
      <x:c r="H30" s="11" t="str">
        <x:v>Calidad</x:v>
      </x:c>
      <x:c r="I30" s="11" t="n">
        <x:v>27</x:v>
      </x:c>
      <x:c r="J30" s="11" t="str">
        <x:v>Cerrada</x:v>
      </x:c>
      <x:c r="K30" s="11" t="str">
        <x:v>Reinicio controlado</x:v>
      </x:c>
    </x:row>
    <x:row r="31">
      <x:c r="A31" s="11" t="n">
        <x:v>30</x:v>
      </x:c>
      <x:c r="B31" s="11" t="str">
        <x:v>2026-07-04</x:v>
      </x:c>
      <x:c r="C31" s="11" t="str">
        <x:v>L2</x:v>
      </x:c>
      <x:c r="D31" s="11" t="str">
        <x:v>Envasado B</x:v>
      </x:c>
      <x:c r="E31" s="11" t="str">
        <x:v>Matutino</x:v>
      </x:c>
      <x:c r="F31" s="11" t="str">
        <x:v>MEC</x:v>
      </x:c>
      <x:c r="G31" s="11" t="str">
        <x:v>Falla mecánica</x:v>
      </x:c>
      <x:c r="H31" s="11" t="str">
        <x:v>Mantenimiento</x:v>
      </x:c>
      <x:c r="I31" s="11" t="n">
        <x:v>18</x:v>
      </x:c>
      <x:c r="J31" s="11" t="str">
        <x:v>Abierta</x:v>
      </x:c>
      <x:c r="K31" s="11" t="str">
        <x:v>Abastecimiento</x:v>
      </x:c>
    </x:row>
    <x:row r="32">
      <x:c r="A32" s="11" t="n">
        <x:v>31</x:v>
      </x:c>
      <x:c r="B32" s="11" t="str">
        <x:v>2026-07-04</x:v>
      </x:c>
      <x:c r="C32" s="11" t="str">
        <x:v>L2</x:v>
      </x:c>
      <x:c r="D32" s="11" t="str">
        <x:v>Envasado B</x:v>
      </x:c>
      <x:c r="E32" s="11" t="str">
        <x:v>Vespertino</x:v>
      </x:c>
      <x:c r="F32" s="11" t="str">
        <x:v>CAL</x:v>
      </x:c>
      <x:c r="G32" s="11" t="str">
        <x:v>Ajuste de calidad</x:v>
      </x:c>
      <x:c r="H32" s="11" t="str">
        <x:v>Calidad</x:v>
      </x:c>
      <x:c r="I32" s="11" t="n">
        <x:v>13</x:v>
      </x:c>
      <x:c r="J32" s="11" t="str">
        <x:v>Cerrada</x:v>
      </x:c>
      <x:c r="K32" s="11" t="str">
        <x:v>Inspección y liberación</x:v>
      </x:c>
    </x:row>
    <x:row r="33">
      <x:c r="A33" s="11" t="n">
        <x:v>32</x:v>
      </x:c>
      <x:c r="B33" s="11" t="str">
        <x:v>2026-07-04</x:v>
      </x:c>
      <x:c r="C33" s="11" t="str">
        <x:v>L3</x:v>
      </x:c>
      <x:c r="D33" s="11" t="str">
        <x:v>Empaque</x:v>
      </x:c>
      <x:c r="E33" s="11" t="str">
        <x:v>Matutino</x:v>
      </x:c>
      <x:c r="F33" s="11" t="str">
        <x:v>MAT</x:v>
      </x:c>
      <x:c r="G33" s="11" t="str">
        <x:v>Falta de material</x:v>
      </x:c>
      <x:c r="H33" s="11" t="str">
        <x:v>Logística</x:v>
      </x:c>
      <x:c r="I33" s="11" t="n">
        <x:v>29</x:v>
      </x:c>
      <x:c r="J33" s="11" t="str">
        <x:v>Cerrada</x:v>
      </x:c>
      <x:c r="K33" s="11" t="str">
        <x:v>Inspección y liberación</x:v>
      </x:c>
    </x:row>
    <x:row r="34">
      <x:c r="A34" s="11" t="n">
        <x:v>33</x:v>
      </x:c>
      <x:c r="B34" s="11" t="str">
        <x:v>2026-07-04</x:v>
      </x:c>
      <x:c r="C34" s="11" t="str">
        <x:v>L3</x:v>
      </x:c>
      <x:c r="D34" s="11" t="str">
        <x:v>Empaque</x:v>
      </x:c>
      <x:c r="E34" s="11" t="str">
        <x:v>Vespertino</x:v>
      </x:c>
      <x:c r="F34" s="11" t="str">
        <x:v>CAM</x:v>
      </x:c>
      <x:c r="G34" s="11" t="str">
        <x:v>Cambio de formato</x:v>
      </x:c>
      <x:c r="H34" s="11" t="str">
        <x:v>Producción</x:v>
      </x:c>
      <x:c r="I34" s="11" t="n">
        <x:v>24</x:v>
      </x:c>
      <x:c r="J34" s="11" t="str">
        <x:v>Abierta</x:v>
      </x:c>
      <x:c r="K34" s="11" t="str">
        <x:v>Inspección y liberación</x:v>
      </x:c>
    </x:row>
    <x:row r="35">
      <x:c r="A35" s="11" t="n">
        <x:v>34</x:v>
      </x:c>
      <x:c r="B35" s="11" t="str">
        <x:v>2026-07-04</x:v>
      </x:c>
      <x:c r="C35" s="11" t="str">
        <x:v>L4</x:v>
      </x:c>
      <x:c r="D35" s="11" t="str">
        <x:v>Etiquetado</x:v>
      </x:c>
      <x:c r="E35" s="11" t="str">
        <x:v>Matutino</x:v>
      </x:c>
      <x:c r="F35" s="11" t="str">
        <x:v>CAM</x:v>
      </x:c>
      <x:c r="G35" s="11" t="str">
        <x:v>Cambio de formato</x:v>
      </x:c>
      <x:c r="H35" s="11" t="str">
        <x:v>Producción</x:v>
      </x:c>
      <x:c r="I35" s="11" t="n">
        <x:v>11</x:v>
      </x:c>
      <x:c r="J35" s="11" t="str">
        <x:v>Cerrada</x:v>
      </x:c>
      <x:c r="K35" s="11" t="str">
        <x:v>Cambio de componente</x:v>
      </x:c>
    </x:row>
    <x:row r="36">
      <x:c r="A36" s="11" t="n">
        <x:v>35</x:v>
      </x:c>
      <x:c r="B36" s="11" t="str">
        <x:v>2026-07-04</x:v>
      </x:c>
      <x:c r="C36" s="11" t="str">
        <x:v>L4</x:v>
      </x:c>
      <x:c r="D36" s="11" t="str">
        <x:v>Etiquetado</x:v>
      </x:c>
      <x:c r="E36" s="11" t="str">
        <x:v>Matutino</x:v>
      </x:c>
      <x:c r="F36" s="11" t="str">
        <x:v>CAL</x:v>
      </x:c>
      <x:c r="G36" s="11" t="str">
        <x:v>Ajuste de calidad</x:v>
      </x:c>
      <x:c r="H36" s="11" t="str">
        <x:v>Calidad</x:v>
      </x:c>
      <x:c r="I36" s="11" t="n">
        <x:v>26</x:v>
      </x:c>
      <x:c r="J36" s="11" t="str">
        <x:v>Abierta</x:v>
      </x:c>
      <x:c r="K36" s="11" t="str">
        <x:v>Ajuste y prueba</x:v>
      </x:c>
    </x:row>
    <x:row r="37">
      <x:c r="A37" s="11" t="n">
        <x:v>36</x:v>
      </x:c>
      <x:c r="B37" s="11" t="str">
        <x:v>2026-07-04</x:v>
      </x:c>
      <x:c r="C37" s="11" t="str">
        <x:v>L4</x:v>
      </x:c>
      <x:c r="D37" s="11" t="str">
        <x:v>Etiquetado</x:v>
      </x:c>
      <x:c r="E37" s="11" t="str">
        <x:v>Matutino</x:v>
      </x:c>
      <x:c r="F37" s="11" t="str">
        <x:v>CAL</x:v>
      </x:c>
      <x:c r="G37" s="11" t="str">
        <x:v>Ajuste de calidad</x:v>
      </x:c>
      <x:c r="H37" s="11" t="str">
        <x:v>Calidad</x:v>
      </x:c>
      <x:c r="I37" s="11" t="n">
        <x:v>8</x:v>
      </x:c>
      <x:c r="J37" s="11" t="str">
        <x:v>Abierta</x:v>
      </x:c>
      <x:c r="K37" s="11" t="str">
        <x:v>Reinicio controlado</x:v>
      </x:c>
    </x:row>
    <x:row r="38">
      <x:c r="A38" s="11" t="n">
        <x:v>37</x:v>
      </x:c>
      <x:c r="B38" s="11" t="str">
        <x:v>2026-07-04</x:v>
      </x:c>
      <x:c r="C38" s="11" t="str">
        <x:v>L4</x:v>
      </x:c>
      <x:c r="D38" s="11" t="str">
        <x:v>Etiquetado</x:v>
      </x:c>
      <x:c r="E38" s="11" t="str">
        <x:v>Vespertino</x:v>
      </x:c>
      <x:c r="F38" s="11" t="str">
        <x:v>CAL</x:v>
      </x:c>
      <x:c r="G38" s="11" t="str">
        <x:v>Ajuste de calidad</x:v>
      </x:c>
      <x:c r="H38" s="11" t="str">
        <x:v>Calidad</x:v>
      </x:c>
      <x:c r="I38" s="11" t="n">
        <x:v>22</x:v>
      </x:c>
      <x:c r="J38" s="11" t="str">
        <x:v>Cerrada</x:v>
      </x:c>
      <x:c r="K38" s="11" t="str">
        <x:v>Abastecimiento</x:v>
      </x:c>
    </x:row>
    <x:row r="39">
      <x:c r="A39" s="11" t="n">
        <x:v>38</x:v>
      </x:c>
      <x:c r="B39" s="11" t="str">
        <x:v>2026-07-05</x:v>
      </x:c>
      <x:c r="C39" s="11" t="str">
        <x:v>L1</x:v>
      </x:c>
      <x:c r="D39" s="11" t="str">
        <x:v>Envasado A</x:v>
      </x:c>
      <x:c r="E39" s="11" t="str">
        <x:v>Matutino</x:v>
      </x:c>
      <x:c r="F39" s="11" t="str">
        <x:v>MAT</x:v>
      </x:c>
      <x:c r="G39" s="11" t="str">
        <x:v>Falta de material</x:v>
      </x:c>
      <x:c r="H39" s="11" t="str">
        <x:v>Logística</x:v>
      </x:c>
      <x:c r="I39" s="11" t="n">
        <x:v>22</x:v>
      </x:c>
      <x:c r="J39" s="11" t="str">
        <x:v>Cerrada</x:v>
      </x:c>
      <x:c r="K39" s="11" t="str">
        <x:v>Abastecimiento</x:v>
      </x:c>
    </x:row>
    <x:row r="40">
      <x:c r="A40" s="11" t="n">
        <x:v>39</x:v>
      </x:c>
      <x:c r="B40" s="11" t="str">
        <x:v>2026-07-05</x:v>
      </x:c>
      <x:c r="C40" s="11" t="str">
        <x:v>L1</x:v>
      </x:c>
      <x:c r="D40" s="11" t="str">
        <x:v>Envasado A</x:v>
      </x:c>
      <x:c r="E40" s="11" t="str">
        <x:v>Vespertino</x:v>
      </x:c>
      <x:c r="F40" s="11" t="str">
        <x:v>CAL</x:v>
      </x:c>
      <x:c r="G40" s="11" t="str">
        <x:v>Ajuste de calidad</x:v>
      </x:c>
      <x:c r="H40" s="11" t="str">
        <x:v>Calidad</x:v>
      </x:c>
      <x:c r="I40" s="11" t="n">
        <x:v>9</x:v>
      </x:c>
      <x:c r="J40" s="11" t="str">
        <x:v>Cerrada</x:v>
      </x:c>
      <x:c r="K40" s="11" t="str">
        <x:v>Ajuste y prueba</x:v>
      </x:c>
    </x:row>
    <x:row r="41">
      <x:c r="A41" s="11" t="n">
        <x:v>40</x:v>
      </x:c>
      <x:c r="B41" s="11" t="str">
        <x:v>2026-07-05</x:v>
      </x:c>
      <x:c r="C41" s="11" t="str">
        <x:v>L2</x:v>
      </x:c>
      <x:c r="D41" s="11" t="str">
        <x:v>Envasado B</x:v>
      </x:c>
      <x:c r="E41" s="11" t="str">
        <x:v>Matutino</x:v>
      </x:c>
      <x:c r="F41" s="11" t="str">
        <x:v>ELE</x:v>
      </x:c>
      <x:c r="G41" s="11" t="str">
        <x:v>Falla eléctrica</x:v>
      </x:c>
      <x:c r="H41" s="11" t="str">
        <x:v>Mantenimiento</x:v>
      </x:c>
      <x:c r="I41" s="11" t="n">
        <x:v>14</x:v>
      </x:c>
      <x:c r="J41" s="11" t="str">
        <x:v>Cerrada</x:v>
      </x:c>
      <x:c r="K41" s="11" t="str">
        <x:v>Abastecimiento</x:v>
      </x:c>
    </x:row>
    <x:row r="42">
      <x:c r="A42" s="11" t="n">
        <x:v>41</x:v>
      </x:c>
      <x:c r="B42" s="11" t="str">
        <x:v>2026-07-05</x:v>
      </x:c>
      <x:c r="C42" s="11" t="str">
        <x:v>L2</x:v>
      </x:c>
      <x:c r="D42" s="11" t="str">
        <x:v>Envasado B</x:v>
      </x:c>
      <x:c r="E42" s="11" t="str">
        <x:v>Vespertino</x:v>
      </x:c>
      <x:c r="F42" s="11" t="str">
        <x:v>ELE</x:v>
      </x:c>
      <x:c r="G42" s="11" t="str">
        <x:v>Falla eléctrica</x:v>
      </x:c>
      <x:c r="H42" s="11" t="str">
        <x:v>Mantenimiento</x:v>
      </x:c>
      <x:c r="I42" s="11" t="n">
        <x:v>36</x:v>
      </x:c>
      <x:c r="J42" s="11" t="str">
        <x:v>Cerrada</x:v>
      </x:c>
      <x:c r="K42" s="11" t="str">
        <x:v>Ajuste y prueba</x:v>
      </x:c>
    </x:row>
    <x:row r="43">
      <x:c r="A43" s="11" t="n">
        <x:v>42</x:v>
      </x:c>
      <x:c r="B43" s="11" t="str">
        <x:v>2026-07-06</x:v>
      </x:c>
      <x:c r="C43" s="11" t="str">
        <x:v>L1</x:v>
      </x:c>
      <x:c r="D43" s="11" t="str">
        <x:v>Envasado A</x:v>
      </x:c>
      <x:c r="E43" s="11" t="str">
        <x:v>Matutino</x:v>
      </x:c>
      <x:c r="F43" s="11" t="str">
        <x:v>CAM</x:v>
      </x:c>
      <x:c r="G43" s="11" t="str">
        <x:v>Cambio de formato</x:v>
      </x:c>
      <x:c r="H43" s="11" t="str">
        <x:v>Producción</x:v>
      </x:c>
      <x:c r="I43" s="11" t="n">
        <x:v>10</x:v>
      </x:c>
      <x:c r="J43" s="11" t="str">
        <x:v>Cerrada</x:v>
      </x:c>
      <x:c r="K43" s="11" t="str">
        <x:v>Cambio de componente</x:v>
      </x:c>
    </x:row>
    <x:row r="44">
      <x:c r="A44" s="11" t="n">
        <x:v>43</x:v>
      </x:c>
      <x:c r="B44" s="11" t="str">
        <x:v>2026-07-06</x:v>
      </x:c>
      <x:c r="C44" s="11" t="str">
        <x:v>L1</x:v>
      </x:c>
      <x:c r="D44" s="11" t="str">
        <x:v>Envasado A</x:v>
      </x:c>
      <x:c r="E44" s="11" t="str">
        <x:v>Vespertino</x:v>
      </x:c>
      <x:c r="F44" s="11" t="str">
        <x:v>MEC</x:v>
      </x:c>
      <x:c r="G44" s="11" t="str">
        <x:v>Falla mecánica</x:v>
      </x:c>
      <x:c r="H44" s="11" t="str">
        <x:v>Mantenimiento</x:v>
      </x:c>
      <x:c r="I44" s="11" t="n">
        <x:v>30</x:v>
      </x:c>
      <x:c r="J44" s="11" t="str">
        <x:v>Cerrada</x:v>
      </x:c>
      <x:c r="K44" s="11" t="str">
        <x:v>Reinicio controlado</x:v>
      </x:c>
    </x:row>
    <x:row r="45">
      <x:c r="A45" s="11" t="n">
        <x:v>44</x:v>
      </x:c>
      <x:c r="B45" s="11" t="str">
        <x:v>2026-07-06</x:v>
      </x:c>
      <x:c r="C45" s="11" t="str">
        <x:v>L2</x:v>
      </x:c>
      <x:c r="D45" s="11" t="str">
        <x:v>Envasado B</x:v>
      </x:c>
      <x:c r="E45" s="11" t="str">
        <x:v>Matutino</x:v>
      </x:c>
      <x:c r="F45" s="11" t="str">
        <x:v>MAT</x:v>
      </x:c>
      <x:c r="G45" s="11" t="str">
        <x:v>Falta de material</x:v>
      </x:c>
      <x:c r="H45" s="11" t="str">
        <x:v>Logística</x:v>
      </x:c>
      <x:c r="I45" s="11" t="n">
        <x:v>31</x:v>
      </x:c>
      <x:c r="J45" s="11" t="str">
        <x:v>Abierta</x:v>
      </x:c>
      <x:c r="K45" s="11" t="str">
        <x:v>Reinicio controlado</x:v>
      </x:c>
    </x:row>
    <x:row r="46">
      <x:c r="A46" s="11" t="n">
        <x:v>45</x:v>
      </x:c>
      <x:c r="B46" s="11" t="str">
        <x:v>2026-07-06</x:v>
      </x:c>
      <x:c r="C46" s="11" t="str">
        <x:v>L2</x:v>
      </x:c>
      <x:c r="D46" s="11" t="str">
        <x:v>Envasado B</x:v>
      </x:c>
      <x:c r="E46" s="11" t="str">
        <x:v>Vespertino</x:v>
      </x:c>
      <x:c r="F46" s="11" t="str">
        <x:v>MAT</x:v>
      </x:c>
      <x:c r="G46" s="11" t="str">
        <x:v>Falta de material</x:v>
      </x:c>
      <x:c r="H46" s="11" t="str">
        <x:v>Logística</x:v>
      </x:c>
      <x:c r="I46" s="11" t="n">
        <x:v>37</x:v>
      </x:c>
      <x:c r="J46" s="11" t="str">
        <x:v>Cerrada</x:v>
      </x:c>
      <x:c r="K46" s="11" t="str">
        <x:v>Reinicio controlado</x:v>
      </x:c>
    </x:row>
    <x:row r="47">
      <x:c r="A47" s="11" t="n">
        <x:v>46</x:v>
      </x:c>
      <x:c r="B47" s="11" t="str">
        <x:v>2026-07-06</x:v>
      </x:c>
      <x:c r="C47" s="11" t="str">
        <x:v>L3</x:v>
      </x:c>
      <x:c r="D47" s="11" t="str">
        <x:v>Empaque</x:v>
      </x:c>
      <x:c r="E47" s="11" t="str">
        <x:v>Matutino</x:v>
      </x:c>
      <x:c r="F47" s="11" t="str">
        <x:v>CAM</x:v>
      </x:c>
      <x:c r="G47" s="11" t="str">
        <x:v>Cambio de formato</x:v>
      </x:c>
      <x:c r="H47" s="11" t="str">
        <x:v>Producción</x:v>
      </x:c>
      <x:c r="I47" s="11" t="n">
        <x:v>11</x:v>
      </x:c>
      <x:c r="J47" s="11" t="str">
        <x:v>Abierta</x:v>
      </x:c>
      <x:c r="K47" s="11" t="str">
        <x:v>Cambio de componente</x:v>
      </x:c>
    </x:row>
    <x:row r="48">
      <x:c r="A48" s="11" t="n">
        <x:v>47</x:v>
      </x:c>
      <x:c r="B48" s="11" t="str">
        <x:v>2026-07-06</x:v>
      </x:c>
      <x:c r="C48" s="11" t="str">
        <x:v>L3</x:v>
      </x:c>
      <x:c r="D48" s="11" t="str">
        <x:v>Empaque</x:v>
      </x:c>
      <x:c r="E48" s="11" t="str">
        <x:v>Vespertino</x:v>
      </x:c>
      <x:c r="F48" s="11" t="str">
        <x:v>ELE</x:v>
      </x:c>
      <x:c r="G48" s="11" t="str">
        <x:v>Falla eléctrica</x:v>
      </x:c>
      <x:c r="H48" s="11" t="str">
        <x:v>Mantenimiento</x:v>
      </x:c>
      <x:c r="I48" s="11" t="n">
        <x:v>15</x:v>
      </x:c>
      <x:c r="J48" s="11" t="str">
        <x:v>Cerrada</x:v>
      </x:c>
      <x:c r="K48" s="11" t="str">
        <x:v>Abastecimiento</x:v>
      </x:c>
    </x:row>
    <x:row r="49">
      <x:c r="A49" s="11" t="n">
        <x:v>48</x:v>
      </x:c>
      <x:c r="B49" s="11" t="str">
        <x:v>2026-07-06</x:v>
      </x:c>
      <x:c r="C49" s="11" t="str">
        <x:v>L4</x:v>
      </x:c>
      <x:c r="D49" s="11" t="str">
        <x:v>Etiquetado</x:v>
      </x:c>
      <x:c r="E49" s="11" t="str">
        <x:v>Matutino</x:v>
      </x:c>
      <x:c r="F49" s="11" t="str">
        <x:v>MAT</x:v>
      </x:c>
      <x:c r="G49" s="11" t="str">
        <x:v>Falta de material</x:v>
      </x:c>
      <x:c r="H49" s="11" t="str">
        <x:v>Logística</x:v>
      </x:c>
      <x:c r="I49" s="11" t="n">
        <x:v>28</x:v>
      </x:c>
      <x:c r="J49" s="11" t="str">
        <x:v>Cerrada</x:v>
      </x:c>
      <x:c r="K49" s="11" t="str">
        <x:v>Abastecimiento</x:v>
      </x:c>
    </x:row>
    <x:row r="50">
      <x:c r="A50" s="11" t="n">
        <x:v>49</x:v>
      </x:c>
      <x:c r="B50" s="11" t="str">
        <x:v>2026-07-06</x:v>
      </x:c>
      <x:c r="C50" s="11" t="str">
        <x:v>L4</x:v>
      </x:c>
      <x:c r="D50" s="11" t="str">
        <x:v>Etiquetado</x:v>
      </x:c>
      <x:c r="E50" s="11" t="str">
        <x:v>Vespertino</x:v>
      </x:c>
      <x:c r="F50" s="11" t="str">
        <x:v>CAL</x:v>
      </x:c>
      <x:c r="G50" s="11" t="str">
        <x:v>Ajuste de calidad</x:v>
      </x:c>
      <x:c r="H50" s="11" t="str">
        <x:v>Calidad</x:v>
      </x:c>
      <x:c r="I50" s="11" t="n">
        <x:v>43</x:v>
      </x:c>
      <x:c r="J50" s="11" t="str">
        <x:v>Abierta</x:v>
      </x:c>
      <x:c r="K50" s="11" t="str">
        <x:v>Cambio de componente</x:v>
      </x:c>
    </x:row>
    <x:row r="51">
      <x:c r="A51" s="11" t="n">
        <x:v>50</x:v>
      </x:c>
      <x:c r="B51" s="11" t="str">
        <x:v>2026-07-07</x:v>
      </x:c>
      <x:c r="C51" s="11" t="str">
        <x:v>L1</x:v>
      </x:c>
      <x:c r="D51" s="11" t="str">
        <x:v>Envasado A</x:v>
      </x:c>
      <x:c r="E51" s="11" t="str">
        <x:v>Matutino</x:v>
      </x:c>
      <x:c r="F51" s="11" t="str">
        <x:v>CAM</x:v>
      </x:c>
      <x:c r="G51" s="11" t="str">
        <x:v>Cambio de formato</x:v>
      </x:c>
      <x:c r="H51" s="11" t="str">
        <x:v>Producción</x:v>
      </x:c>
      <x:c r="I51" s="11" t="n">
        <x:v>14</x:v>
      </x:c>
      <x:c r="J51" s="11" t="str">
        <x:v>Cerrada</x:v>
      </x:c>
      <x:c r="K51" s="11" t="str">
        <x:v>Inspección y liberación</x:v>
      </x:c>
    </x:row>
    <x:row r="52">
      <x:c r="A52" s="11" t="n">
        <x:v>51</x:v>
      </x:c>
      <x:c r="B52" s="11" t="str">
        <x:v>2026-07-07</x:v>
      </x:c>
      <x:c r="C52" s="11" t="str">
        <x:v>L1</x:v>
      </x:c>
      <x:c r="D52" s="11" t="str">
        <x:v>Envasado A</x:v>
      </x:c>
      <x:c r="E52" s="11" t="str">
        <x:v>Matutino</x:v>
      </x:c>
      <x:c r="F52" s="11" t="str">
        <x:v>MAT</x:v>
      </x:c>
      <x:c r="G52" s="11" t="str">
        <x:v>Falta de material</x:v>
      </x:c>
      <x:c r="H52" s="11" t="str">
        <x:v>Logística</x:v>
      </x:c>
      <x:c r="I52" s="11" t="n">
        <x:v>35</x:v>
      </x:c>
      <x:c r="J52" s="11" t="str">
        <x:v>Abierta</x:v>
      </x:c>
      <x:c r="K52" s="11" t="str">
        <x:v>Inspección y liberación</x:v>
      </x:c>
    </x:row>
    <x:row r="53">
      <x:c r="A53" s="11" t="n">
        <x:v>52</x:v>
      </x:c>
      <x:c r="B53" s="11" t="str">
        <x:v>2026-07-07</x:v>
      </x:c>
      <x:c r="C53" s="11" t="str">
        <x:v>L1</x:v>
      </x:c>
      <x:c r="D53" s="11" t="str">
        <x:v>Envasado A</x:v>
      </x:c>
      <x:c r="E53" s="11" t="str">
        <x:v>Matutino</x:v>
      </x:c>
      <x:c r="F53" s="11" t="str">
        <x:v>ELE</x:v>
      </x:c>
      <x:c r="G53" s="11" t="str">
        <x:v>Falla eléctrica</x:v>
      </x:c>
      <x:c r="H53" s="11" t="str">
        <x:v>Mantenimiento</x:v>
      </x:c>
      <x:c r="I53" s="11" t="n">
        <x:v>17</x:v>
      </x:c>
      <x:c r="J53" s="11" t="str">
        <x:v>Abierta</x:v>
      </x:c>
      <x:c r="K53" s="11" t="str">
        <x:v>Reinicio controlado</x:v>
      </x:c>
    </x:row>
    <x:row r="54">
      <x:c r="A54" s="11" t="n">
        <x:v>53</x:v>
      </x:c>
      <x:c r="B54" s="11" t="str">
        <x:v>2026-07-07</x:v>
      </x:c>
      <x:c r="C54" s="11" t="str">
        <x:v>L1</x:v>
      </x:c>
      <x:c r="D54" s="11" t="str">
        <x:v>Envasado A</x:v>
      </x:c>
      <x:c r="E54" s="11" t="str">
        <x:v>Vespertino</x:v>
      </x:c>
      <x:c r="F54" s="11" t="str">
        <x:v>CAL</x:v>
      </x:c>
      <x:c r="G54" s="11" t="str">
        <x:v>Ajuste de calidad</x:v>
      </x:c>
      <x:c r="H54" s="11" t="str">
        <x:v>Calidad</x:v>
      </x:c>
      <x:c r="I54" s="11" t="n">
        <x:v>12</x:v>
      </x:c>
      <x:c r="J54" s="11" t="str">
        <x:v>Abierta</x:v>
      </x:c>
      <x:c r="K54" s="11" t="str">
        <x:v>Cambio de componente</x:v>
      </x:c>
    </x:row>
    <x:row r="55">
      <x:c r="A55" s="11" t="n">
        <x:v>54</x:v>
      </x:c>
      <x:c r="B55" s="11" t="str">
        <x:v>2026-07-07</x:v>
      </x:c>
      <x:c r="C55" s="11" t="str">
        <x:v>L1</x:v>
      </x:c>
      <x:c r="D55" s="11" t="str">
        <x:v>Envasado A</x:v>
      </x:c>
      <x:c r="E55" s="11" t="str">
        <x:v>Vespertino</x:v>
      </x:c>
      <x:c r="F55" s="11" t="str">
        <x:v>ELE</x:v>
      </x:c>
      <x:c r="G55" s="11" t="str">
        <x:v>Falla eléctrica</x:v>
      </x:c>
      <x:c r="H55" s="11" t="str">
        <x:v>Mantenimiento</x:v>
      </x:c>
      <x:c r="I55" s="11" t="n">
        <x:v>14</x:v>
      </x:c>
      <x:c r="J55" s="11" t="str">
        <x:v>Abierta</x:v>
      </x:c>
      <x:c r="K55" s="11" t="str">
        <x:v>Cambio de componente</x:v>
      </x:c>
    </x:row>
    <x:row r="56">
      <x:c r="A56" s="11" t="n">
        <x:v>55</x:v>
      </x:c>
      <x:c r="B56" s="11" t="str">
        <x:v>2026-07-07</x:v>
      </x:c>
      <x:c r="C56" s="11" t="str">
        <x:v>L1</x:v>
      </x:c>
      <x:c r="D56" s="11" t="str">
        <x:v>Envasado A</x:v>
      </x:c>
      <x:c r="E56" s="11" t="str">
        <x:v>Vespertino</x:v>
      </x:c>
      <x:c r="F56" s="11" t="str">
        <x:v>MEC</x:v>
      </x:c>
      <x:c r="G56" s="11" t="str">
        <x:v>Falla mecánica</x:v>
      </x:c>
      <x:c r="H56" s="11" t="str">
        <x:v>Mantenimiento</x:v>
      </x:c>
      <x:c r="I56" s="11" t="n">
        <x:v>23</x:v>
      </x:c>
      <x:c r="J56" s="11" t="str">
        <x:v>Cerrada</x:v>
      </x:c>
      <x:c r="K56" s="11" t="str">
        <x:v>Ajuste y prueba</x:v>
      </x:c>
    </x:row>
    <x:row r="57">
      <x:c r="A57" s="11" t="n">
        <x:v>56</x:v>
      </x:c>
      <x:c r="B57" s="11" t="str">
        <x:v>2026-07-07</x:v>
      </x:c>
      <x:c r="C57" s="11" t="str">
        <x:v>L2</x:v>
      </x:c>
      <x:c r="D57" s="11" t="str">
        <x:v>Envasado B</x:v>
      </x:c>
      <x:c r="E57" s="11" t="str">
        <x:v>Matutino</x:v>
      </x:c>
      <x:c r="F57" s="11" t="str">
        <x:v>MAT</x:v>
      </x:c>
      <x:c r="G57" s="11" t="str">
        <x:v>Falta de material</x:v>
      </x:c>
      <x:c r="H57" s="11" t="str">
        <x:v>Logística</x:v>
      </x:c>
      <x:c r="I57" s="11" t="n">
        <x:v>24</x:v>
      </x:c>
      <x:c r="J57" s="11" t="str">
        <x:v>Cerrada</x:v>
      </x:c>
      <x:c r="K57" s="11" t="str">
        <x:v>Reinicio controlado</x:v>
      </x:c>
    </x:row>
    <x:row r="58">
      <x:c r="A58" s="11" t="n">
        <x:v>57</x:v>
      </x:c>
      <x:c r="B58" s="11" t="str">
        <x:v>2026-07-07</x:v>
      </x:c>
      <x:c r="C58" s="11" t="str">
        <x:v>L2</x:v>
      </x:c>
      <x:c r="D58" s="11" t="str">
        <x:v>Envasado B</x:v>
      </x:c>
      <x:c r="E58" s="11" t="str">
        <x:v>Vespertino</x:v>
      </x:c>
      <x:c r="F58" s="11" t="str">
        <x:v>MAT</x:v>
      </x:c>
      <x:c r="G58" s="11" t="str">
        <x:v>Falta de material</x:v>
      </x:c>
      <x:c r="H58" s="11" t="str">
        <x:v>Logística</x:v>
      </x:c>
      <x:c r="I58" s="11" t="n">
        <x:v>34</x:v>
      </x:c>
      <x:c r="J58" s="11" t="str">
        <x:v>Cerrada</x:v>
      </x:c>
      <x:c r="K58" s="11" t="str">
        <x:v>Inspección y liberación</x:v>
      </x:c>
    </x:row>
    <x:row r="59">
      <x:c r="A59" s="11" t="n">
        <x:v>58</x:v>
      </x:c>
      <x:c r="B59" s="11" t="str">
        <x:v>2026-07-07</x:v>
      </x:c>
      <x:c r="C59" s="11" t="str">
        <x:v>L3</x:v>
      </x:c>
      <x:c r="D59" s="11" t="str">
        <x:v>Empaque</x:v>
      </x:c>
      <x:c r="E59" s="11" t="str">
        <x:v>Matutino</x:v>
      </x:c>
      <x:c r="F59" s="11" t="str">
        <x:v>CAM</x:v>
      </x:c>
      <x:c r="G59" s="11" t="str">
        <x:v>Cambio de formato</x:v>
      </x:c>
      <x:c r="H59" s="11" t="str">
        <x:v>Producción</x:v>
      </x:c>
      <x:c r="I59" s="11" t="n">
        <x:v>29</x:v>
      </x:c>
      <x:c r="J59" s="11" t="str">
        <x:v>Abierta</x:v>
      </x:c>
      <x:c r="K59" s="11" t="str">
        <x:v>Ajuste y prueba</x:v>
      </x:c>
    </x:row>
    <x:row r="60">
      <x:c r="A60" s="11" t="n">
        <x:v>59</x:v>
      </x:c>
      <x:c r="B60" s="11" t="str">
        <x:v>2026-07-07</x:v>
      </x:c>
      <x:c r="C60" s="11" t="str">
        <x:v>L3</x:v>
      </x:c>
      <x:c r="D60" s="11" t="str">
        <x:v>Empaque</x:v>
      </x:c>
      <x:c r="E60" s="11" t="str">
        <x:v>Vespertino</x:v>
      </x:c>
      <x:c r="F60" s="11" t="str">
        <x:v>ELE</x:v>
      </x:c>
      <x:c r="G60" s="11" t="str">
        <x:v>Falla eléctrica</x:v>
      </x:c>
      <x:c r="H60" s="11" t="str">
        <x:v>Mantenimiento</x:v>
      </x:c>
      <x:c r="I60" s="11" t="n">
        <x:v>20</x:v>
      </x:c>
      <x:c r="J60" s="11" t="str">
        <x:v>Cerrada</x:v>
      </x:c>
      <x:c r="K60" s="11" t="str">
        <x:v>Abastecimiento</x:v>
      </x:c>
    </x:row>
    <x:row r="61">
      <x:c r="A61" s="11" t="n">
        <x:v>60</x:v>
      </x:c>
      <x:c r="B61" s="11" t="str">
        <x:v>2026-07-07</x:v>
      </x:c>
      <x:c r="C61" s="11" t="str">
        <x:v>L4</x:v>
      </x:c>
      <x:c r="D61" s="11" t="str">
        <x:v>Etiquetado</x:v>
      </x:c>
      <x:c r="E61" s="11" t="str">
        <x:v>Matutino</x:v>
      </x:c>
      <x:c r="F61" s="11" t="str">
        <x:v>CAM</x:v>
      </x:c>
      <x:c r="G61" s="11" t="str">
        <x:v>Cambio de formato</x:v>
      </x:c>
      <x:c r="H61" s="11" t="str">
        <x:v>Producción</x:v>
      </x:c>
      <x:c r="I61" s="11" t="n">
        <x:v>13</x:v>
      </x:c>
      <x:c r="J61" s="11" t="str">
        <x:v>Cerrada</x:v>
      </x:c>
      <x:c r="K61" s="11" t="str">
        <x:v>Reinicio controlado</x:v>
      </x:c>
    </x:row>
    <x:row r="62">
      <x:c r="A62" s="11" t="n">
        <x:v>61</x:v>
      </x:c>
      <x:c r="B62" s="11" t="str">
        <x:v>2026-07-07</x:v>
      </x:c>
      <x:c r="C62" s="11" t="str">
        <x:v>L4</x:v>
      </x:c>
      <x:c r="D62" s="11" t="str">
        <x:v>Etiquetado</x:v>
      </x:c>
      <x:c r="E62" s="11" t="str">
        <x:v>Matutino</x:v>
      </x:c>
      <x:c r="F62" s="11" t="str">
        <x:v>MAT</x:v>
      </x:c>
      <x:c r="G62" s="11" t="str">
        <x:v>Falta de material</x:v>
      </x:c>
      <x:c r="H62" s="11" t="str">
        <x:v>Logística</x:v>
      </x:c>
      <x:c r="I62" s="11" t="n">
        <x:v>13</x:v>
      </x:c>
      <x:c r="J62" s="11" t="str">
        <x:v>Abierta</x:v>
      </x:c>
      <x:c r="K62" s="11" t="str">
        <x:v>Reinicio controlado</x:v>
      </x:c>
    </x:row>
    <x:row r="63">
      <x:c r="A63" s="11" t="n">
        <x:v>62</x:v>
      </x:c>
      <x:c r="B63" s="11" t="str">
        <x:v>2026-07-07</x:v>
      </x:c>
      <x:c r="C63" s="11" t="str">
        <x:v>L4</x:v>
      </x:c>
      <x:c r="D63" s="11" t="str">
        <x:v>Etiquetado</x:v>
      </x:c>
      <x:c r="E63" s="11" t="str">
        <x:v>Matutino</x:v>
      </x:c>
      <x:c r="F63" s="11" t="str">
        <x:v>MEC</x:v>
      </x:c>
      <x:c r="G63" s="11" t="str">
        <x:v>Falla mecánica</x:v>
      </x:c>
      <x:c r="H63" s="11" t="str">
        <x:v>Mantenimiento</x:v>
      </x:c>
      <x:c r="I63" s="11" t="n">
        <x:v>26</x:v>
      </x:c>
      <x:c r="J63" s="11" t="str">
        <x:v>Cerrada</x:v>
      </x:c>
      <x:c r="K63" s="11" t="str">
        <x:v>Ajuste y prueba</x:v>
      </x:c>
    </x:row>
    <x:row r="64">
      <x:c r="A64" s="11" t="n">
        <x:v>63</x:v>
      </x:c>
      <x:c r="B64" s="11" t="str">
        <x:v>2026-07-07</x:v>
      </x:c>
      <x:c r="C64" s="11" t="str">
        <x:v>L4</x:v>
      </x:c>
      <x:c r="D64" s="11" t="str">
        <x:v>Etiquetado</x:v>
      </x:c>
      <x:c r="E64" s="11" t="str">
        <x:v>Vespertino</x:v>
      </x:c>
      <x:c r="F64" s="11" t="str">
        <x:v>ELE</x:v>
      </x:c>
      <x:c r="G64" s="11" t="str">
        <x:v>Falla eléctrica</x:v>
      </x:c>
      <x:c r="H64" s="11" t="str">
        <x:v>Mantenimiento</x:v>
      </x:c>
      <x:c r="I64" s="11" t="n">
        <x:v>21</x:v>
      </x:c>
      <x:c r="J64" s="11" t="str">
        <x:v>Cerrada</x:v>
      </x:c>
      <x:c r="K64" s="11" t="str">
        <x:v>Cambio de componente</x:v>
      </x:c>
    </x:row>
    <x:row r="65">
      <x:c r="A65" s="11" t="n">
        <x:v>64</x:v>
      </x:c>
      <x:c r="B65" s="11" t="str">
        <x:v>2026-07-08</x:v>
      </x:c>
      <x:c r="C65" s="11" t="str">
        <x:v>L1</x:v>
      </x:c>
      <x:c r="D65" s="11" t="str">
        <x:v>Envasado A</x:v>
      </x:c>
      <x:c r="E65" s="11" t="str">
        <x:v>Matutino</x:v>
      </x:c>
      <x:c r="F65" s="11" t="str">
        <x:v>ELE</x:v>
      </x:c>
      <x:c r="G65" s="11" t="str">
        <x:v>Falla eléctrica</x:v>
      </x:c>
      <x:c r="H65" s="11" t="str">
        <x:v>Mantenimiento</x:v>
      </x:c>
      <x:c r="I65" s="11" t="n">
        <x:v>22</x:v>
      </x:c>
      <x:c r="J65" s="11" t="str">
        <x:v>Cerrada</x:v>
      </x:c>
      <x:c r="K65" s="11" t="str">
        <x:v>Reinicio controlado</x:v>
      </x:c>
    </x:row>
    <x:row r="66">
      <x:c r="A66" s="11" t="n">
        <x:v>65</x:v>
      </x:c>
      <x:c r="B66" s="11" t="str">
        <x:v>2026-07-08</x:v>
      </x:c>
      <x:c r="C66" s="11" t="str">
        <x:v>L1</x:v>
      </x:c>
      <x:c r="D66" s="11" t="str">
        <x:v>Envasado A</x:v>
      </x:c>
      <x:c r="E66" s="11" t="str">
        <x:v>Vespertino</x:v>
      </x:c>
      <x:c r="F66" s="11" t="str">
        <x:v>CAM</x:v>
      </x:c>
      <x:c r="G66" s="11" t="str">
        <x:v>Cambio de formato</x:v>
      </x:c>
      <x:c r="H66" s="11" t="str">
        <x:v>Producción</x:v>
      </x:c>
      <x:c r="I66" s="11" t="n">
        <x:v>43</x:v>
      </x:c>
      <x:c r="J66" s="11" t="str">
        <x:v>Abierta</x:v>
      </x:c>
      <x:c r="K66" s="11" t="str">
        <x:v>Ajuste y prueba</x:v>
      </x:c>
    </x:row>
    <x:row r="67">
      <x:c r="A67" s="11" t="n">
        <x:v>66</x:v>
      </x:c>
      <x:c r="B67" s="11" t="str">
        <x:v>2026-07-08</x:v>
      </x:c>
      <x:c r="C67" s="11" t="str">
        <x:v>L2</x:v>
      </x:c>
      <x:c r="D67" s="11" t="str">
        <x:v>Envasado B</x:v>
      </x:c>
      <x:c r="E67" s="11" t="str">
        <x:v>Matutino</x:v>
      </x:c>
      <x:c r="F67" s="11" t="str">
        <x:v>CAM</x:v>
      </x:c>
      <x:c r="G67" s="11" t="str">
        <x:v>Cambio de formato</x:v>
      </x:c>
      <x:c r="H67" s="11" t="str">
        <x:v>Producción</x:v>
      </x:c>
      <x:c r="I67" s="11" t="n">
        <x:v>29</x:v>
      </x:c>
      <x:c r="J67" s="11" t="str">
        <x:v>Cerrada</x:v>
      </x:c>
      <x:c r="K67" s="11" t="str">
        <x:v>Cambio de componente</x:v>
      </x:c>
    </x:row>
    <x:row r="68">
      <x:c r="A68" s="11" t="n">
        <x:v>67</x:v>
      </x:c>
      <x:c r="B68" s="11" t="str">
        <x:v>2026-07-08</x:v>
      </x:c>
      <x:c r="C68" s="11" t="str">
        <x:v>L2</x:v>
      </x:c>
      <x:c r="D68" s="11" t="str">
        <x:v>Envasado B</x:v>
      </x:c>
      <x:c r="E68" s="11" t="str">
        <x:v>Vespertino</x:v>
      </x:c>
      <x:c r="F68" s="11" t="str">
        <x:v>CAL</x:v>
      </x:c>
      <x:c r="G68" s="11" t="str">
        <x:v>Ajuste de calidad</x:v>
      </x:c>
      <x:c r="H68" s="11" t="str">
        <x:v>Calidad</x:v>
      </x:c>
      <x:c r="I68" s="11" t="n">
        <x:v>11</x:v>
      </x:c>
      <x:c r="J68" s="11" t="str">
        <x:v>Abierta</x:v>
      </x:c>
      <x:c r="K68" s="11" t="str">
        <x:v>Cambio de componente</x:v>
      </x:c>
    </x:row>
    <x:row r="69">
      <x:c r="A69" s="11" t="n">
        <x:v>68</x:v>
      </x:c>
      <x:c r="B69" s="11" t="str">
        <x:v>2026-07-08</x:v>
      </x:c>
      <x:c r="C69" s="11" t="str">
        <x:v>L3</x:v>
      </x:c>
      <x:c r="D69" s="11" t="str">
        <x:v>Empaque</x:v>
      </x:c>
      <x:c r="E69" s="11" t="str">
        <x:v>Matutino</x:v>
      </x:c>
      <x:c r="F69" s="11" t="str">
        <x:v>MAT</x:v>
      </x:c>
      <x:c r="G69" s="11" t="str">
        <x:v>Falta de material</x:v>
      </x:c>
      <x:c r="H69" s="11" t="str">
        <x:v>Logística</x:v>
      </x:c>
      <x:c r="I69" s="11" t="n">
        <x:v>41</x:v>
      </x:c>
      <x:c r="J69" s="11" t="str">
        <x:v>Cerrada</x:v>
      </x:c>
      <x:c r="K69" s="11" t="str">
        <x:v>Reinicio controlado</x:v>
      </x:c>
    </x:row>
    <x:row r="70">
      <x:c r="A70" s="11" t="n">
        <x:v>69</x:v>
      </x:c>
      <x:c r="B70" s="11" t="str">
        <x:v>2026-07-08</x:v>
      </x:c>
      <x:c r="C70" s="11" t="str">
        <x:v>L3</x:v>
      </x:c>
      <x:c r="D70" s="11" t="str">
        <x:v>Empaque</x:v>
      </x:c>
      <x:c r="E70" s="11" t="str">
        <x:v>Vespertino</x:v>
      </x:c>
      <x:c r="F70" s="11" t="str">
        <x:v>MAT</x:v>
      </x:c>
      <x:c r="G70" s="11" t="str">
        <x:v>Falta de material</x:v>
      </x:c>
      <x:c r="H70" s="11" t="str">
        <x:v>Logística</x:v>
      </x:c>
      <x:c r="I70" s="11" t="n">
        <x:v>20</x:v>
      </x:c>
      <x:c r="J70" s="11" t="str">
        <x:v>Cerrada</x:v>
      </x:c>
      <x:c r="K70" s="11" t="str">
        <x:v>Reinicio controlado</x:v>
      </x:c>
    </x:row>
    <x:row r="71">
      <x:c r="A71" s="11" t="n">
        <x:v>70</x:v>
      </x:c>
      <x:c r="B71" s="11" t="str">
        <x:v>2026-07-08</x:v>
      </x:c>
      <x:c r="C71" s="11" t="str">
        <x:v>L3</x:v>
      </x:c>
      <x:c r="D71" s="11" t="str">
        <x:v>Empaque</x:v>
      </x:c>
      <x:c r="E71" s="11" t="str">
        <x:v>Vespertino</x:v>
      </x:c>
      <x:c r="F71" s="11" t="str">
        <x:v>CAM</x:v>
      </x:c>
      <x:c r="G71" s="11" t="str">
        <x:v>Cambio de formato</x:v>
      </x:c>
      <x:c r="H71" s="11" t="str">
        <x:v>Producción</x:v>
      </x:c>
      <x:c r="I71" s="11" t="n">
        <x:v>14</x:v>
      </x:c>
      <x:c r="J71" s="11" t="str">
        <x:v>Cerrada</x:v>
      </x:c>
      <x:c r="K71" s="11" t="str">
        <x:v>Inspección y liberación</x:v>
      </x:c>
    </x:row>
    <x:row r="72">
      <x:c r="A72" s="11" t="n">
        <x:v>71</x:v>
      </x:c>
      <x:c r="B72" s="11" t="str">
        <x:v>2026-07-08</x:v>
      </x:c>
      <x:c r="C72" s="11" t="str">
        <x:v>L3</x:v>
      </x:c>
      <x:c r="D72" s="11" t="str">
        <x:v>Empaque</x:v>
      </x:c>
      <x:c r="E72" s="11" t="str">
        <x:v>Vespertino</x:v>
      </x:c>
      <x:c r="F72" s="11" t="str">
        <x:v>CAL</x:v>
      </x:c>
      <x:c r="G72" s="11" t="str">
        <x:v>Ajuste de calidad</x:v>
      </x:c>
      <x:c r="H72" s="11" t="str">
        <x:v>Calidad</x:v>
      </x:c>
      <x:c r="I72" s="11" t="n">
        <x:v>44</x:v>
      </x:c>
      <x:c r="J72" s="11" t="str">
        <x:v>Cerrada</x:v>
      </x:c>
      <x:c r="K72" s="11" t="str">
        <x:v>Inspección y liberación</x:v>
      </x:c>
    </x:row>
    <x:row r="73">
      <x:c r="A73" s="11" t="n">
        <x:v>72</x:v>
      </x:c>
      <x:c r="B73" s="11" t="str">
        <x:v>2026-07-08</x:v>
      </x:c>
      <x:c r="C73" s="11" t="str">
        <x:v>L4</x:v>
      </x:c>
      <x:c r="D73" s="11" t="str">
        <x:v>Etiquetado</x:v>
      </x:c>
      <x:c r="E73" s="11" t="str">
        <x:v>Vespertino</x:v>
      </x:c>
      <x:c r="F73" s="11" t="str">
        <x:v>MEC</x:v>
      </x:c>
      <x:c r="G73" s="11" t="str">
        <x:v>Falla mecánica</x:v>
      </x:c>
      <x:c r="H73" s="11" t="str">
        <x:v>Mantenimiento</x:v>
      </x:c>
      <x:c r="I73" s="11" t="n">
        <x:v>25</x:v>
      </x:c>
      <x:c r="J73" s="11" t="str">
        <x:v>Abierta</x:v>
      </x:c>
      <x:c r="K73" s="11" t="str">
        <x:v>Inspección y liberación</x:v>
      </x:c>
    </x:row>
    <x:row r="74">
      <x:c r="A74" s="11" t="n">
        <x:v>73</x:v>
      </x:c>
      <x:c r="B74" s="11" t="str">
        <x:v>2026-07-09</x:v>
      </x:c>
      <x:c r="C74" s="11" t="str">
        <x:v>L1</x:v>
      </x:c>
      <x:c r="D74" s="11" t="str">
        <x:v>Envasado A</x:v>
      </x:c>
      <x:c r="E74" s="11" t="str">
        <x:v>Matutino</x:v>
      </x:c>
      <x:c r="F74" s="11" t="str">
        <x:v>MAT</x:v>
      </x:c>
      <x:c r="G74" s="11" t="str">
        <x:v>Falta de material</x:v>
      </x:c>
      <x:c r="H74" s="11" t="str">
        <x:v>Logística</x:v>
      </x:c>
      <x:c r="I74" s="11" t="n">
        <x:v>35</x:v>
      </x:c>
      <x:c r="J74" s="11" t="str">
        <x:v>Cerrada</x:v>
      </x:c>
      <x:c r="K74" s="11" t="str">
        <x:v>Reinicio controlado</x:v>
      </x:c>
    </x:row>
    <x:row r="75">
      <x:c r="A75" s="11" t="n">
        <x:v>74</x:v>
      </x:c>
      <x:c r="B75" s="11" t="str">
        <x:v>2026-07-09</x:v>
      </x:c>
      <x:c r="C75" s="11" t="str">
        <x:v>L1</x:v>
      </x:c>
      <x:c r="D75" s="11" t="str">
        <x:v>Envasado A</x:v>
      </x:c>
      <x:c r="E75" s="11" t="str">
        <x:v>Vespertino</x:v>
      </x:c>
      <x:c r="F75" s="11" t="str">
        <x:v>MEC</x:v>
      </x:c>
      <x:c r="G75" s="11" t="str">
        <x:v>Falla mecánica</x:v>
      </x:c>
      <x:c r="H75" s="11" t="str">
        <x:v>Mantenimiento</x:v>
      </x:c>
      <x:c r="I75" s="11" t="n">
        <x:v>22</x:v>
      </x:c>
      <x:c r="J75" s="11" t="str">
        <x:v>Cerrada</x:v>
      </x:c>
      <x:c r="K75" s="11" t="str">
        <x:v>Ajuste y prueba</x:v>
      </x:c>
    </x:row>
    <x:row r="76">
      <x:c r="A76" s="11" t="n">
        <x:v>75</x:v>
      </x:c>
      <x:c r="B76" s="11" t="str">
        <x:v>2026-07-09</x:v>
      </x:c>
      <x:c r="C76" s="11" t="str">
        <x:v>L2</x:v>
      </x:c>
      <x:c r="D76" s="11" t="str">
        <x:v>Envasado B</x:v>
      </x:c>
      <x:c r="E76" s="11" t="str">
        <x:v>Matutino</x:v>
      </x:c>
      <x:c r="F76" s="11" t="str">
        <x:v>MAT</x:v>
      </x:c>
      <x:c r="G76" s="11" t="str">
        <x:v>Falta de material</x:v>
      </x:c>
      <x:c r="H76" s="11" t="str">
        <x:v>Logística</x:v>
      </x:c>
      <x:c r="I76" s="11" t="n">
        <x:v>11</x:v>
      </x:c>
      <x:c r="J76" s="11" t="str">
        <x:v>Cerrada</x:v>
      </x:c>
      <x:c r="K76" s="11" t="str">
        <x:v>Reinicio controlado</x:v>
      </x:c>
    </x:row>
    <x:row r="77">
      <x:c r="A77" s="11" t="n">
        <x:v>76</x:v>
      </x:c>
      <x:c r="B77" s="11" t="str">
        <x:v>2026-07-09</x:v>
      </x:c>
      <x:c r="C77" s="11" t="str">
        <x:v>L2</x:v>
      </x:c>
      <x:c r="D77" s="11" t="str">
        <x:v>Envasado B</x:v>
      </x:c>
      <x:c r="E77" s="11" t="str">
        <x:v>Vespertino</x:v>
      </x:c>
      <x:c r="F77" s="11" t="str">
        <x:v>MAT</x:v>
      </x:c>
      <x:c r="G77" s="11" t="str">
        <x:v>Falta de material</x:v>
      </x:c>
      <x:c r="H77" s="11" t="str">
        <x:v>Logística</x:v>
      </x:c>
      <x:c r="I77" s="11" t="n">
        <x:v>24</x:v>
      </x:c>
      <x:c r="J77" s="11" t="str">
        <x:v>Cerrada</x:v>
      </x:c>
      <x:c r="K77" s="11" t="str">
        <x:v>Reinicio controlado</x:v>
      </x:c>
    </x:row>
    <x:row r="78">
      <x:c r="A78" s="11" t="n">
        <x:v>77</x:v>
      </x:c>
      <x:c r="B78" s="11" t="str">
        <x:v>2026-07-09</x:v>
      </x:c>
      <x:c r="C78" s="11" t="str">
        <x:v>L3</x:v>
      </x:c>
      <x:c r="D78" s="11" t="str">
        <x:v>Empaque</x:v>
      </x:c>
      <x:c r="E78" s="11" t="str">
        <x:v>Matutino</x:v>
      </x:c>
      <x:c r="F78" s="11" t="str">
        <x:v>ELE</x:v>
      </x:c>
      <x:c r="G78" s="11" t="str">
        <x:v>Falla eléctrica</x:v>
      </x:c>
      <x:c r="H78" s="11" t="str">
        <x:v>Mantenimiento</x:v>
      </x:c>
      <x:c r="I78" s="11" t="n">
        <x:v>16</x:v>
      </x:c>
      <x:c r="J78" s="11" t="str">
        <x:v>Cerrada</x:v>
      </x:c>
      <x:c r="K78" s="11" t="str">
        <x:v>Inspección y liberación</x:v>
      </x:c>
    </x:row>
    <x:row r="79">
      <x:c r="A79" s="11" t="n">
        <x:v>78</x:v>
      </x:c>
      <x:c r="B79" s="11" t="str">
        <x:v>2026-07-09</x:v>
      </x:c>
      <x:c r="C79" s="11" t="str">
        <x:v>L4</x:v>
      </x:c>
      <x:c r="D79" s="11" t="str">
        <x:v>Etiquetado</x:v>
      </x:c>
      <x:c r="E79" s="11" t="str">
        <x:v>Vespertino</x:v>
      </x:c>
      <x:c r="F79" s="11" t="str">
        <x:v>ELE</x:v>
      </x:c>
      <x:c r="G79" s="11" t="str">
        <x:v>Falla eléctrica</x:v>
      </x:c>
      <x:c r="H79" s="11" t="str">
        <x:v>Mantenimiento</x:v>
      </x:c>
      <x:c r="I79" s="11" t="n">
        <x:v>21</x:v>
      </x:c>
      <x:c r="J79" s="11" t="str">
        <x:v>Abierta</x:v>
      </x:c>
      <x:c r="K79" s="11" t="str">
        <x:v>Inspección y liberación</x:v>
      </x:c>
    </x:row>
    <x:row r="80">
      <x:c r="A80" s="11" t="n">
        <x:v>79</x:v>
      </x:c>
      <x:c r="B80" s="11" t="str">
        <x:v>2026-07-10</x:v>
      </x:c>
      <x:c r="C80" s="11" t="str">
        <x:v>L1</x:v>
      </x:c>
      <x:c r="D80" s="11" t="str">
        <x:v>Envasado A</x:v>
      </x:c>
      <x:c r="E80" s="11" t="str">
        <x:v>Matutino</x:v>
      </x:c>
      <x:c r="F80" s="11" t="str">
        <x:v>CAM</x:v>
      </x:c>
      <x:c r="G80" s="11" t="str">
        <x:v>Cambio de formato</x:v>
      </x:c>
      <x:c r="H80" s="11" t="str">
        <x:v>Producción</x:v>
      </x:c>
      <x:c r="I80" s="11" t="n">
        <x:v>32</x:v>
      </x:c>
      <x:c r="J80" s="11" t="str">
        <x:v>Cerrada</x:v>
      </x:c>
      <x:c r="K80" s="11" t="str">
        <x:v>Cambio de componente</x:v>
      </x:c>
    </x:row>
    <x:row r="81">
      <x:c r="A81" s="11" t="n">
        <x:v>80</x:v>
      </x:c>
      <x:c r="B81" s="11" t="str">
        <x:v>2026-07-10</x:v>
      </x:c>
      <x:c r="C81" s="11" t="str">
        <x:v>L1</x:v>
      </x:c>
      <x:c r="D81" s="11" t="str">
        <x:v>Envasado A</x:v>
      </x:c>
      <x:c r="E81" s="11" t="str">
        <x:v>Vespertino</x:v>
      </x:c>
      <x:c r="F81" s="11" t="str">
        <x:v>CAM</x:v>
      </x:c>
      <x:c r="G81" s="11" t="str">
        <x:v>Cambio de formato</x:v>
      </x:c>
      <x:c r="H81" s="11" t="str">
        <x:v>Producción</x:v>
      </x:c>
      <x:c r="I81" s="11" t="n">
        <x:v>51</x:v>
      </x:c>
      <x:c r="J81" s="11" t="str">
        <x:v>Cerrada</x:v>
      </x:c>
      <x:c r="K81" s="11" t="str">
        <x:v>Reinicio controlado</x:v>
      </x:c>
    </x:row>
    <x:row r="82">
      <x:c r="A82" s="11" t="n">
        <x:v>81</x:v>
      </x:c>
      <x:c r="B82" s="11" t="str">
        <x:v>2026-07-10</x:v>
      </x:c>
      <x:c r="C82" s="11" t="str">
        <x:v>L2</x:v>
      </x:c>
      <x:c r="D82" s="11" t="str">
        <x:v>Envasado B</x:v>
      </x:c>
      <x:c r="E82" s="11" t="str">
        <x:v>Matutino</x:v>
      </x:c>
      <x:c r="F82" s="11" t="str">
        <x:v>CAM</x:v>
      </x:c>
      <x:c r="G82" s="11" t="str">
        <x:v>Cambio de formato</x:v>
      </x:c>
      <x:c r="H82" s="11" t="str">
        <x:v>Producción</x:v>
      </x:c>
      <x:c r="I82" s="11" t="n">
        <x:v>20</x:v>
      </x:c>
      <x:c r="J82" s="11" t="str">
        <x:v>Abierta</x:v>
      </x:c>
      <x:c r="K82" s="11" t="str">
        <x:v>Inspección y liberación</x:v>
      </x:c>
    </x:row>
    <x:row r="83">
      <x:c r="A83" s="11" t="n">
        <x:v>82</x:v>
      </x:c>
      <x:c r="B83" s="11" t="str">
        <x:v>2026-07-10</x:v>
      </x:c>
      <x:c r="C83" s="11" t="str">
        <x:v>L2</x:v>
      </x:c>
      <x:c r="D83" s="11" t="str">
        <x:v>Envasado B</x:v>
      </x:c>
      <x:c r="E83" s="11" t="str">
        <x:v>Matutino</x:v>
      </x:c>
      <x:c r="F83" s="11" t="str">
        <x:v>CAL</x:v>
      </x:c>
      <x:c r="G83" s="11" t="str">
        <x:v>Ajuste de calidad</x:v>
      </x:c>
      <x:c r="H83" s="11" t="str">
        <x:v>Calidad</x:v>
      </x:c>
      <x:c r="I83" s="11" t="n">
        <x:v>30</x:v>
      </x:c>
      <x:c r="J83" s="11" t="str">
        <x:v>Cerrada</x:v>
      </x:c>
      <x:c r="K83" s="11" t="str">
        <x:v>Reinicio controlado</x:v>
      </x:c>
    </x:row>
    <x:row r="84">
      <x:c r="A84" s="11" t="n">
        <x:v>83</x:v>
      </x:c>
      <x:c r="B84" s="11" t="str">
        <x:v>2026-07-10</x:v>
      </x:c>
      <x:c r="C84" s="11" t="str">
        <x:v>L2</x:v>
      </x:c>
      <x:c r="D84" s="11" t="str">
        <x:v>Envasado B</x:v>
      </x:c>
      <x:c r="E84" s="11" t="str">
        <x:v>Matutino</x:v>
      </x:c>
      <x:c r="F84" s="11" t="str">
        <x:v>ELE</x:v>
      </x:c>
      <x:c r="G84" s="11" t="str">
        <x:v>Falla eléctrica</x:v>
      </x:c>
      <x:c r="H84" s="11" t="str">
        <x:v>Mantenimiento</x:v>
      </x:c>
      <x:c r="I84" s="11" t="n">
        <x:v>17</x:v>
      </x:c>
      <x:c r="J84" s="11" t="str">
        <x:v>Cerrada</x:v>
      </x:c>
      <x:c r="K84" s="11" t="str">
        <x:v>Reinicio controlado</x:v>
      </x:c>
    </x:row>
    <x:row r="85">
      <x:c r="A85" s="11" t="n">
        <x:v>84</x:v>
      </x:c>
      <x:c r="B85" s="11" t="str">
        <x:v>2026-07-10</x:v>
      </x:c>
      <x:c r="C85" s="11" t="str">
        <x:v>L2</x:v>
      </x:c>
      <x:c r="D85" s="11" t="str">
        <x:v>Envasado B</x:v>
      </x:c>
      <x:c r="E85" s="11" t="str">
        <x:v>Vespertino</x:v>
      </x:c>
      <x:c r="F85" s="11" t="str">
        <x:v>CAL</x:v>
      </x:c>
      <x:c r="G85" s="11" t="str">
        <x:v>Ajuste de calidad</x:v>
      </x:c>
      <x:c r="H85" s="11" t="str">
        <x:v>Calidad</x:v>
      </x:c>
      <x:c r="I85" s="11" t="n">
        <x:v>24</x:v>
      </x:c>
      <x:c r="J85" s="11" t="str">
        <x:v>Cerrada</x:v>
      </x:c>
      <x:c r="K85" s="11" t="str">
        <x:v>Cambio de componente</x:v>
      </x:c>
    </x:row>
    <x:row r="86">
      <x:c r="A86" s="11" t="n">
        <x:v>85</x:v>
      </x:c>
      <x:c r="B86" s="11" t="str">
        <x:v>2026-07-10</x:v>
      </x:c>
      <x:c r="C86" s="11" t="str">
        <x:v>L3</x:v>
      </x:c>
      <x:c r="D86" s="11" t="str">
        <x:v>Empaque</x:v>
      </x:c>
      <x:c r="E86" s="11" t="str">
        <x:v>Matutino</x:v>
      </x:c>
      <x:c r="F86" s="11" t="str">
        <x:v>CAL</x:v>
      </x:c>
      <x:c r="G86" s="11" t="str">
        <x:v>Ajuste de calidad</x:v>
      </x:c>
      <x:c r="H86" s="11" t="str">
        <x:v>Calidad</x:v>
      </x:c>
      <x:c r="I86" s="11" t="n">
        <x:v>23</x:v>
      </x:c>
      <x:c r="J86" s="11" t="str">
        <x:v>Cerrada</x:v>
      </x:c>
      <x:c r="K86" s="11" t="str">
        <x:v>Reinicio controlado</x:v>
      </x:c>
    </x:row>
    <x:row r="87">
      <x:c r="A87" s="11" t="n">
        <x:v>86</x:v>
      </x:c>
      <x:c r="B87" s="11" t="str">
        <x:v>2026-07-10</x:v>
      </x:c>
      <x:c r="C87" s="11" t="str">
        <x:v>L3</x:v>
      </x:c>
      <x:c r="D87" s="11" t="str">
        <x:v>Empaque</x:v>
      </x:c>
      <x:c r="E87" s="11" t="str">
        <x:v>Vespertino</x:v>
      </x:c>
      <x:c r="F87" s="11" t="str">
        <x:v>CAM</x:v>
      </x:c>
      <x:c r="G87" s="11" t="str">
        <x:v>Cambio de formato</x:v>
      </x:c>
      <x:c r="H87" s="11" t="str">
        <x:v>Producción</x:v>
      </x:c>
      <x:c r="I87" s="11" t="n">
        <x:v>56</x:v>
      </x:c>
      <x:c r="J87" s="11" t="str">
        <x:v>Cerrada</x:v>
      </x:c>
      <x:c r="K87" s="11" t="str">
        <x:v>Reinicio controlado</x:v>
      </x:c>
    </x:row>
    <x:row r="88">
      <x:c r="A88" s="11" t="n">
        <x:v>87</x:v>
      </x:c>
      <x:c r="B88" s="11" t="str">
        <x:v>2026-07-10</x:v>
      </x:c>
      <x:c r="C88" s="11" t="str">
        <x:v>L4</x:v>
      </x:c>
      <x:c r="D88" s="11" t="str">
        <x:v>Etiquetado</x:v>
      </x:c>
      <x:c r="E88" s="11" t="str">
        <x:v>Matutino</x:v>
      </x:c>
      <x:c r="F88" s="11" t="str">
        <x:v>MAT</x:v>
      </x:c>
      <x:c r="G88" s="11" t="str">
        <x:v>Falta de material</x:v>
      </x:c>
      <x:c r="H88" s="11" t="str">
        <x:v>Logística</x:v>
      </x:c>
      <x:c r="I88" s="11" t="n">
        <x:v>29</x:v>
      </x:c>
      <x:c r="J88" s="11" t="str">
        <x:v>Abierta</x:v>
      </x:c>
      <x:c r="K88" s="11" t="str">
        <x:v>Cambio de componente</x:v>
      </x:c>
    </x:row>
    <x:row r="89">
      <x:c r="A89" s="11" t="n">
        <x:v>88</x:v>
      </x:c>
      <x:c r="B89" s="11" t="str">
        <x:v>2026-07-10</x:v>
      </x:c>
      <x:c r="C89" s="11" t="str">
        <x:v>L4</x:v>
      </x:c>
      <x:c r="D89" s="11" t="str">
        <x:v>Etiquetado</x:v>
      </x:c>
      <x:c r="E89" s="11" t="str">
        <x:v>Matutino</x:v>
      </x:c>
      <x:c r="F89" s="11" t="str">
        <x:v>MAT</x:v>
      </x:c>
      <x:c r="G89" s="11" t="str">
        <x:v>Falta de material</x:v>
      </x:c>
      <x:c r="H89" s="11" t="str">
        <x:v>Logística</x:v>
      </x:c>
      <x:c r="I89" s="11" t="n">
        <x:v>18</x:v>
      </x:c>
      <x:c r="J89" s="11" t="str">
        <x:v>Cerrada</x:v>
      </x:c>
      <x:c r="K89" s="11" t="str">
        <x:v>Reinicio controlado</x:v>
      </x:c>
    </x:row>
    <x:row r="90">
      <x:c r="A90" s="11" t="n">
        <x:v>89</x:v>
      </x:c>
      <x:c r="B90" s="11" t="str">
        <x:v>2026-07-10</x:v>
      </x:c>
      <x:c r="C90" s="11" t="str">
        <x:v>L4</x:v>
      </x:c>
      <x:c r="D90" s="11" t="str">
        <x:v>Etiquetado</x:v>
      </x:c>
      <x:c r="E90" s="11" t="str">
        <x:v>Vespertino</x:v>
      </x:c>
      <x:c r="F90" s="11" t="str">
        <x:v>MAT</x:v>
      </x:c>
      <x:c r="G90" s="11" t="str">
        <x:v>Falta de material</x:v>
      </x:c>
      <x:c r="H90" s="11" t="str">
        <x:v>Logística</x:v>
      </x:c>
      <x:c r="I90" s="11" t="n">
        <x:v>33</x:v>
      </x:c>
      <x:c r="J90" s="11" t="str">
        <x:v>Cerrada</x:v>
      </x:c>
      <x:c r="K90" s="11" t="str">
        <x:v>Reinicio controlado</x:v>
      </x:c>
    </x:row>
    <x:row r="91">
      <x:c r="A91" s="11" t="n">
        <x:v>90</x:v>
      </x:c>
      <x:c r="B91" s="11" t="str">
        <x:v>2026-07-10</x:v>
      </x:c>
      <x:c r="C91" s="11" t="str">
        <x:v>L4</x:v>
      </x:c>
      <x:c r="D91" s="11" t="str">
        <x:v>Etiquetado</x:v>
      </x:c>
      <x:c r="E91" s="11" t="str">
        <x:v>Vespertino</x:v>
      </x:c>
      <x:c r="F91" s="11" t="str">
        <x:v>MAT</x:v>
      </x:c>
      <x:c r="G91" s="11" t="str">
        <x:v>Falta de material</x:v>
      </x:c>
      <x:c r="H91" s="11" t="str">
        <x:v>Logística</x:v>
      </x:c>
      <x:c r="I91" s="11" t="n">
        <x:v>21</x:v>
      </x:c>
      <x:c r="J91" s="11" t="str">
        <x:v>Cerrada</x:v>
      </x:c>
      <x:c r="K91" s="11" t="str">
        <x:v>Ajuste y prueba</x:v>
      </x:c>
    </x:row>
    <x:row r="92">
      <x:c r="A92" s="11" t="n">
        <x:v>91</x:v>
      </x:c>
      <x:c r="B92" s="11" t="str">
        <x:v>2026-07-10</x:v>
      </x:c>
      <x:c r="C92" s="11" t="str">
        <x:v>L4</x:v>
      </x:c>
      <x:c r="D92" s="11" t="str">
        <x:v>Etiquetado</x:v>
      </x:c>
      <x:c r="E92" s="11" t="str">
        <x:v>Vespertino</x:v>
      </x:c>
      <x:c r="F92" s="11" t="str">
        <x:v>CAM</x:v>
      </x:c>
      <x:c r="G92" s="11" t="str">
        <x:v>Cambio de formato</x:v>
      </x:c>
      <x:c r="H92" s="11" t="str">
        <x:v>Producción</x:v>
      </x:c>
      <x:c r="I92" s="11" t="n">
        <x:v>5</x:v>
      </x:c>
      <x:c r="J92" s="11" t="str">
        <x:v>Abierta</x:v>
      </x:c>
      <x:c r="K92" s="11" t="str">
        <x:v>Inspección y liberación</x:v>
      </x:c>
    </x:row>
    <x:row r="93">
      <x:c r="A93" s="11" t="n">
        <x:v>92</x:v>
      </x:c>
      <x:c r="B93" s="11" t="str">
        <x:v>2026-07-11</x:v>
      </x:c>
      <x:c r="C93" s="11" t="str">
        <x:v>L1</x:v>
      </x:c>
      <x:c r="D93" s="11" t="str">
        <x:v>Envasado A</x:v>
      </x:c>
      <x:c r="E93" s="11" t="str">
        <x:v>Matutino</x:v>
      </x:c>
      <x:c r="F93" s="11" t="str">
        <x:v>CAL</x:v>
      </x:c>
      <x:c r="G93" s="11" t="str">
        <x:v>Ajuste de calidad</x:v>
      </x:c>
      <x:c r="H93" s="11" t="str">
        <x:v>Calidad</x:v>
      </x:c>
      <x:c r="I93" s="11" t="n">
        <x:v>13</x:v>
      </x:c>
      <x:c r="J93" s="11" t="str">
        <x:v>Abierta</x:v>
      </x:c>
      <x:c r="K93" s="11" t="str">
        <x:v>Abastecimiento</x:v>
      </x:c>
    </x:row>
    <x:row r="94">
      <x:c r="A94" s="11" t="n">
        <x:v>93</x:v>
      </x:c>
      <x:c r="B94" s="11" t="str">
        <x:v>2026-07-11</x:v>
      </x:c>
      <x:c r="C94" s="11" t="str">
        <x:v>L1</x:v>
      </x:c>
      <x:c r="D94" s="11" t="str">
        <x:v>Envasado A</x:v>
      </x:c>
      <x:c r="E94" s="11" t="str">
        <x:v>Vespertino</x:v>
      </x:c>
      <x:c r="F94" s="11" t="str">
        <x:v>ELE</x:v>
      </x:c>
      <x:c r="G94" s="11" t="str">
        <x:v>Falla eléctrica</x:v>
      </x:c>
      <x:c r="H94" s="11" t="str">
        <x:v>Mantenimiento</x:v>
      </x:c>
      <x:c r="I94" s="11" t="n">
        <x:v>24</x:v>
      </x:c>
      <x:c r="J94" s="11" t="str">
        <x:v>Abierta</x:v>
      </x:c>
      <x:c r="K94" s="11" t="str">
        <x:v>Abastecimiento</x:v>
      </x:c>
    </x:row>
    <x:row r="95">
      <x:c r="A95" s="11" t="n">
        <x:v>94</x:v>
      </x:c>
      <x:c r="B95" s="11" t="str">
        <x:v>2026-07-11</x:v>
      </x:c>
      <x:c r="C95" s="11" t="str">
        <x:v>L2</x:v>
      </x:c>
      <x:c r="D95" s="11" t="str">
        <x:v>Envasado B</x:v>
      </x:c>
      <x:c r="E95" s="11" t="str">
        <x:v>Matutino</x:v>
      </x:c>
      <x:c r="F95" s="11" t="str">
        <x:v>MEC</x:v>
      </x:c>
      <x:c r="G95" s="11" t="str">
        <x:v>Falla mecánica</x:v>
      </x:c>
      <x:c r="H95" s="11" t="str">
        <x:v>Mantenimiento</x:v>
      </x:c>
      <x:c r="I95" s="11" t="n">
        <x:v>21</x:v>
      </x:c>
      <x:c r="J95" s="11" t="str">
        <x:v>Cerrada</x:v>
      </x:c>
      <x:c r="K95" s="11" t="str">
        <x:v>Cambio de componente</x:v>
      </x:c>
    </x:row>
    <x:row r="96">
      <x:c r="A96" s="11" t="n">
        <x:v>95</x:v>
      </x:c>
      <x:c r="B96" s="11" t="str">
        <x:v>2026-07-11</x:v>
      </x:c>
      <x:c r="C96" s="11" t="str">
        <x:v>L2</x:v>
      </x:c>
      <x:c r="D96" s="11" t="str">
        <x:v>Envasado B</x:v>
      </x:c>
      <x:c r="E96" s="11" t="str">
        <x:v>Matutino</x:v>
      </x:c>
      <x:c r="F96" s="11" t="str">
        <x:v>ELE</x:v>
      </x:c>
      <x:c r="G96" s="11" t="str">
        <x:v>Falla eléctrica</x:v>
      </x:c>
      <x:c r="H96" s="11" t="str">
        <x:v>Mantenimiento</x:v>
      </x:c>
      <x:c r="I96" s="11" t="n">
        <x:v>35</x:v>
      </x:c>
      <x:c r="J96" s="11" t="str">
        <x:v>Cerrada</x:v>
      </x:c>
      <x:c r="K96" s="11" t="str">
        <x:v>Abastecimiento</x:v>
      </x:c>
    </x:row>
    <x:row r="97">
      <x:c r="A97" s="11" t="n">
        <x:v>96</x:v>
      </x:c>
      <x:c r="B97" s="11" t="str">
        <x:v>2026-07-11</x:v>
      </x:c>
      <x:c r="C97" s="11" t="str">
        <x:v>L2</x:v>
      </x:c>
      <x:c r="D97" s="11" t="str">
        <x:v>Envasado B</x:v>
      </x:c>
      <x:c r="E97" s="11" t="str">
        <x:v>Vespertino</x:v>
      </x:c>
      <x:c r="F97" s="11" t="str">
        <x:v>MAT</x:v>
      </x:c>
      <x:c r="G97" s="11" t="str">
        <x:v>Falta de material</x:v>
      </x:c>
      <x:c r="H97" s="11" t="str">
        <x:v>Logística</x:v>
      </x:c>
      <x:c r="I97" s="11" t="n">
        <x:v>12</x:v>
      </x:c>
      <x:c r="J97" s="11" t="str">
        <x:v>Cerrada</x:v>
      </x:c>
      <x:c r="K97" s="11" t="str">
        <x:v>Ajuste y prueba</x:v>
      </x:c>
    </x:row>
    <x:row r="98">
      <x:c r="A98" s="11" t="n">
        <x:v>97</x:v>
      </x:c>
      <x:c r="B98" s="11" t="str">
        <x:v>2026-07-11</x:v>
      </x:c>
      <x:c r="C98" s="11" t="str">
        <x:v>L2</x:v>
      </x:c>
      <x:c r="D98" s="11" t="str">
        <x:v>Envasado B</x:v>
      </x:c>
      <x:c r="E98" s="11" t="str">
        <x:v>Vespertino</x:v>
      </x:c>
      <x:c r="F98" s="11" t="str">
        <x:v>MAT</x:v>
      </x:c>
      <x:c r="G98" s="11" t="str">
        <x:v>Falta de material</x:v>
      </x:c>
      <x:c r="H98" s="11" t="str">
        <x:v>Logística</x:v>
      </x:c>
      <x:c r="I98" s="11" t="n">
        <x:v>23</x:v>
      </x:c>
      <x:c r="J98" s="11" t="str">
        <x:v>Cerrada</x:v>
      </x:c>
      <x:c r="K98" s="11" t="str">
        <x:v>Reinicio controlado</x:v>
      </x:c>
    </x:row>
    <x:row r="99">
      <x:c r="A99" s="11" t="n">
        <x:v>98</x:v>
      </x:c>
      <x:c r="B99" s="11" t="str">
        <x:v>2026-07-11</x:v>
      </x:c>
      <x:c r="C99" s="11" t="str">
        <x:v>L2</x:v>
      </x:c>
      <x:c r="D99" s="11" t="str">
        <x:v>Envasado B</x:v>
      </x:c>
      <x:c r="E99" s="11" t="str">
        <x:v>Vespertino</x:v>
      </x:c>
      <x:c r="F99" s="11" t="str">
        <x:v>MEC</x:v>
      </x:c>
      <x:c r="G99" s="11" t="str">
        <x:v>Falla mecánica</x:v>
      </x:c>
      <x:c r="H99" s="11" t="str">
        <x:v>Mantenimiento</x:v>
      </x:c>
      <x:c r="I99" s="11" t="n">
        <x:v>24</x:v>
      </x:c>
      <x:c r="J99" s="11" t="str">
        <x:v>Abierta</x:v>
      </x:c>
      <x:c r="K99" s="11" t="str">
        <x:v>Abastecimiento</x:v>
      </x:c>
    </x:row>
    <x:row r="100">
      <x:c r="A100" s="11" t="n">
        <x:v>99</x:v>
      </x:c>
      <x:c r="B100" s="11" t="str">
        <x:v>2026-07-11</x:v>
      </x:c>
      <x:c r="C100" s="11" t="str">
        <x:v>L3</x:v>
      </x:c>
      <x:c r="D100" s="11" t="str">
        <x:v>Empaque</x:v>
      </x:c>
      <x:c r="E100" s="11" t="str">
        <x:v>Matutino</x:v>
      </x:c>
      <x:c r="F100" s="11" t="str">
        <x:v>MAT</x:v>
      </x:c>
      <x:c r="G100" s="11" t="str">
        <x:v>Falta de material</x:v>
      </x:c>
      <x:c r="H100" s="11" t="str">
        <x:v>Logística</x:v>
      </x:c>
      <x:c r="I100" s="11" t="n">
        <x:v>26</x:v>
      </x:c>
      <x:c r="J100" s="11" t="str">
        <x:v>Cerrada</x:v>
      </x:c>
      <x:c r="K100" s="11" t="str">
        <x:v>Cambio de componente</x:v>
      </x:c>
    </x:row>
    <x:row r="101">
      <x:c r="A101" s="11" t="n">
        <x:v>100</x:v>
      </x:c>
      <x:c r="B101" s="11" t="str">
        <x:v>2026-07-11</x:v>
      </x:c>
      <x:c r="C101" s="11" t="str">
        <x:v>L3</x:v>
      </x:c>
      <x:c r="D101" s="11" t="str">
        <x:v>Empaque</x:v>
      </x:c>
      <x:c r="E101" s="11" t="str">
        <x:v>Vespertino</x:v>
      </x:c>
      <x:c r="F101" s="11" t="str">
        <x:v>CAL</x:v>
      </x:c>
      <x:c r="G101" s="11" t="str">
        <x:v>Ajuste de calidad</x:v>
      </x:c>
      <x:c r="H101" s="11" t="str">
        <x:v>Calidad</x:v>
      </x:c>
      <x:c r="I101" s="11" t="n">
        <x:v>28</x:v>
      </x:c>
      <x:c r="J101" s="11" t="str">
        <x:v>Cerrada</x:v>
      </x:c>
      <x:c r="K101" s="11" t="str">
        <x:v>Abastecimiento</x:v>
      </x:c>
    </x:row>
    <x:row r="102">
      <x:c r="A102" s="11" t="n">
        <x:v>101</x:v>
      </x:c>
      <x:c r="B102" s="11" t="str">
        <x:v>2026-07-11</x:v>
      </x:c>
      <x:c r="C102" s="11" t="str">
        <x:v>L4</x:v>
      </x:c>
      <x:c r="D102" s="11" t="str">
        <x:v>Etiquetado</x:v>
      </x:c>
      <x:c r="E102" s="11" t="str">
        <x:v>Matutino</x:v>
      </x:c>
      <x:c r="F102" s="11" t="str">
        <x:v>MEC</x:v>
      </x:c>
      <x:c r="G102" s="11" t="str">
        <x:v>Falla mecánica</x:v>
      </x:c>
      <x:c r="H102" s="11" t="str">
        <x:v>Mantenimiento</x:v>
      </x:c>
      <x:c r="I102" s="11" t="n">
        <x:v>4</x:v>
      </x:c>
      <x:c r="J102" s="11" t="str">
        <x:v>Cerrada</x:v>
      </x:c>
      <x:c r="K102" s="11" t="str">
        <x:v>Inspección y liberación</x:v>
      </x:c>
    </x:row>
    <x:row r="103">
      <x:c r="A103" s="11" t="n">
        <x:v>102</x:v>
      </x:c>
      <x:c r="B103" s="11" t="str">
        <x:v>2026-07-11</x:v>
      </x:c>
      <x:c r="C103" s="11" t="str">
        <x:v>L4</x:v>
      </x:c>
      <x:c r="D103" s="11" t="str">
        <x:v>Etiquetado</x:v>
      </x:c>
      <x:c r="E103" s="11" t="str">
        <x:v>Vespertino</x:v>
      </x:c>
      <x:c r="F103" s="11" t="str">
        <x:v>CAM</x:v>
      </x:c>
      <x:c r="G103" s="11" t="str">
        <x:v>Cambio de formato</x:v>
      </x:c>
      <x:c r="H103" s="11" t="str">
        <x:v>Producción</x:v>
      </x:c>
      <x:c r="I103" s="11" t="n">
        <x:v>28</x:v>
      </x:c>
      <x:c r="J103" s="11" t="str">
        <x:v>Cerrada</x:v>
      </x:c>
      <x:c r="K103" s="11" t="str">
        <x:v>Abastecimiento</x:v>
      </x:c>
    </x:row>
    <x:row r="104">
      <x:c r="A104" s="11" t="n">
        <x:v>103</x:v>
      </x:c>
      <x:c r="B104" s="11" t="str">
        <x:v>2026-07-11</x:v>
      </x:c>
      <x:c r="C104" s="11" t="str">
        <x:v>L4</x:v>
      </x:c>
      <x:c r="D104" s="11" t="str">
        <x:v>Etiquetado</x:v>
      </x:c>
      <x:c r="E104" s="11" t="str">
        <x:v>Vespertino</x:v>
      </x:c>
      <x:c r="F104" s="11" t="str">
        <x:v>CAM</x:v>
      </x:c>
      <x:c r="G104" s="11" t="str">
        <x:v>Cambio de formato</x:v>
      </x:c>
      <x:c r="H104" s="11" t="str">
        <x:v>Producción</x:v>
      </x:c>
      <x:c r="I104" s="11" t="n">
        <x:v>23</x:v>
      </x:c>
      <x:c r="J104" s="11" t="str">
        <x:v>Abierta</x:v>
      </x:c>
      <x:c r="K104" s="11" t="str">
        <x:v>Ajuste y prueba</x:v>
      </x:c>
    </x:row>
    <x:row r="105">
      <x:c r="A105" s="11" t="n">
        <x:v>104</x:v>
      </x:c>
      <x:c r="B105" s="11" t="str">
        <x:v>2026-07-11</x:v>
      </x:c>
      <x:c r="C105" s="11" t="str">
        <x:v>L4</x:v>
      </x:c>
      <x:c r="D105" s="11" t="str">
        <x:v>Etiquetado</x:v>
      </x:c>
      <x:c r="E105" s="11" t="str">
        <x:v>Vespertino</x:v>
      </x:c>
      <x:c r="F105" s="11" t="str">
        <x:v>CAL</x:v>
      </x:c>
      <x:c r="G105" s="11" t="str">
        <x:v>Ajuste de calidad</x:v>
      </x:c>
      <x:c r="H105" s="11" t="str">
        <x:v>Calidad</x:v>
      </x:c>
      <x:c r="I105" s="11" t="n">
        <x:v>10</x:v>
      </x:c>
      <x:c r="J105" s="11" t="str">
        <x:v>Cerrada</x:v>
      </x:c>
      <x:c r="K105" s="11" t="str">
        <x:v>Reinicio controlado</x:v>
      </x:c>
    </x:row>
    <x:row r="106">
      <x:c r="A106" s="11" t="n">
        <x:v>105</x:v>
      </x:c>
      <x:c r="B106" s="11" t="str">
        <x:v>2026-07-12</x:v>
      </x:c>
      <x:c r="C106" s="11" t="str">
        <x:v>L1</x:v>
      </x:c>
      <x:c r="D106" s="11" t="str">
        <x:v>Envasado A</x:v>
      </x:c>
      <x:c r="E106" s="11" t="str">
        <x:v>Matutino</x:v>
      </x:c>
      <x:c r="F106" s="11" t="str">
        <x:v>MEC</x:v>
      </x:c>
      <x:c r="G106" s="11" t="str">
        <x:v>Falla mecánica</x:v>
      </x:c>
      <x:c r="H106" s="11" t="str">
        <x:v>Mantenimiento</x:v>
      </x:c>
      <x:c r="I106" s="11" t="n">
        <x:v>14</x:v>
      </x:c>
      <x:c r="J106" s="11" t="str">
        <x:v>Cerrada</x:v>
      </x:c>
      <x:c r="K106" s="11" t="str">
        <x:v>Inspección y liberación</x:v>
      </x:c>
    </x:row>
    <x:row r="107">
      <x:c r="A107" s="11" t="n">
        <x:v>106</x:v>
      </x:c>
      <x:c r="B107" s="11" t="str">
        <x:v>2026-07-12</x:v>
      </x:c>
      <x:c r="C107" s="11" t="str">
        <x:v>L1</x:v>
      </x:c>
      <x:c r="D107" s="11" t="str">
        <x:v>Envasado A</x:v>
      </x:c>
      <x:c r="E107" s="11" t="str">
        <x:v>Vespertino</x:v>
      </x:c>
      <x:c r="F107" s="11" t="str">
        <x:v>ELE</x:v>
      </x:c>
      <x:c r="G107" s="11" t="str">
        <x:v>Falla eléctrica</x:v>
      </x:c>
      <x:c r="H107" s="11" t="str">
        <x:v>Mantenimiento</x:v>
      </x:c>
      <x:c r="I107" s="11" t="n">
        <x:v>9</x:v>
      </x:c>
      <x:c r="J107" s="11" t="str">
        <x:v>Abierta</x:v>
      </x:c>
      <x:c r="K107" s="11" t="str">
        <x:v>Ajuste y prueba</x:v>
      </x:c>
    </x:row>
    <x:row r="108">
      <x:c r="A108" s="11" t="n">
        <x:v>107</x:v>
      </x:c>
      <x:c r="B108" s="11" t="str">
        <x:v>2026-07-12</x:v>
      </x:c>
      <x:c r="C108" s="11" t="str">
        <x:v>L2</x:v>
      </x:c>
      <x:c r="D108" s="11" t="str">
        <x:v>Envasado B</x:v>
      </x:c>
      <x:c r="E108" s="11" t="str">
        <x:v>Matutino</x:v>
      </x:c>
      <x:c r="F108" s="11" t="str">
        <x:v>ELE</x:v>
      </x:c>
      <x:c r="G108" s="11" t="str">
        <x:v>Falla eléctrica</x:v>
      </x:c>
      <x:c r="H108" s="11" t="str">
        <x:v>Mantenimiento</x:v>
      </x:c>
      <x:c r="I108" s="11" t="n">
        <x:v>22</x:v>
      </x:c>
      <x:c r="J108" s="11" t="str">
        <x:v>Cerrada</x:v>
      </x:c>
      <x:c r="K108" s="11" t="str">
        <x:v>Reinicio controlado</x:v>
      </x:c>
    </x:row>
    <x:row r="109">
      <x:c r="A109" s="11" t="n">
        <x:v>108</x:v>
      </x:c>
      <x:c r="B109" s="11" t="str">
        <x:v>2026-07-13</x:v>
      </x:c>
      <x:c r="C109" s="11" t="str">
        <x:v>L1</x:v>
      </x:c>
      <x:c r="D109" s="11" t="str">
        <x:v>Envasado A</x:v>
      </x:c>
      <x:c r="E109" s="11" t="str">
        <x:v>Matutino</x:v>
      </x:c>
      <x:c r="F109" s="11" t="str">
        <x:v>MAT</x:v>
      </x:c>
      <x:c r="G109" s="11" t="str">
        <x:v>Falta de material</x:v>
      </x:c>
      <x:c r="H109" s="11" t="str">
        <x:v>Logística</x:v>
      </x:c>
      <x:c r="I109" s="11" t="n">
        <x:v>43</x:v>
      </x:c>
      <x:c r="J109" s="11" t="str">
        <x:v>Cerrada</x:v>
      </x:c>
      <x:c r="K109" s="11" t="str">
        <x:v>Ajuste y prueba</x:v>
      </x:c>
    </x:row>
    <x:row r="110">
      <x:c r="A110" s="11" t="n">
        <x:v>109</x:v>
      </x:c>
      <x:c r="B110" s="11" t="str">
        <x:v>2026-07-13</x:v>
      </x:c>
      <x:c r="C110" s="11" t="str">
        <x:v>L2</x:v>
      </x:c>
      <x:c r="D110" s="11" t="str">
        <x:v>Envasado B</x:v>
      </x:c>
      <x:c r="E110" s="11" t="str">
        <x:v>Matutino</x:v>
      </x:c>
      <x:c r="F110" s="11" t="str">
        <x:v>CAM</x:v>
      </x:c>
      <x:c r="G110" s="11" t="str">
        <x:v>Cambio de formato</x:v>
      </x:c>
      <x:c r="H110" s="11" t="str">
        <x:v>Producción</x:v>
      </x:c>
      <x:c r="I110" s="11" t="n">
        <x:v>20</x:v>
      </x:c>
      <x:c r="J110" s="11" t="str">
        <x:v>Cerrada</x:v>
      </x:c>
      <x:c r="K110" s="11" t="str">
        <x:v>Cambio de componente</x:v>
      </x:c>
    </x:row>
    <x:row r="111">
      <x:c r="A111" s="11" t="n">
        <x:v>110</x:v>
      </x:c>
      <x:c r="B111" s="11" t="str">
        <x:v>2026-07-13</x:v>
      </x:c>
      <x:c r="C111" s="11" t="str">
        <x:v>L2</x:v>
      </x:c>
      <x:c r="D111" s="11" t="str">
        <x:v>Envasado B</x:v>
      </x:c>
      <x:c r="E111" s="11" t="str">
        <x:v>Vespertino</x:v>
      </x:c>
      <x:c r="F111" s="11" t="str">
        <x:v>MEC</x:v>
      </x:c>
      <x:c r="G111" s="11" t="str">
        <x:v>Falla mecánica</x:v>
      </x:c>
      <x:c r="H111" s="11" t="str">
        <x:v>Mantenimiento</x:v>
      </x:c>
      <x:c r="I111" s="11" t="n">
        <x:v>32</x:v>
      </x:c>
      <x:c r="J111" s="11" t="str">
        <x:v>Abierta</x:v>
      </x:c>
      <x:c r="K111" s="11" t="str">
        <x:v>Reinicio controlado</x:v>
      </x:c>
    </x:row>
    <x:row r="112">
      <x:c r="A112" s="11" t="n">
        <x:v>111</x:v>
      </x:c>
      <x:c r="B112" s="11" t="str">
        <x:v>2026-07-13</x:v>
      </x:c>
      <x:c r="C112" s="11" t="str">
        <x:v>L3</x:v>
      </x:c>
      <x:c r="D112" s="11" t="str">
        <x:v>Empaque</x:v>
      </x:c>
      <x:c r="E112" s="11" t="str">
        <x:v>Matutino</x:v>
      </x:c>
      <x:c r="F112" s="11" t="str">
        <x:v>CAL</x:v>
      </x:c>
      <x:c r="G112" s="11" t="str">
        <x:v>Ajuste de calidad</x:v>
      </x:c>
      <x:c r="H112" s="11" t="str">
        <x:v>Calidad</x:v>
      </x:c>
      <x:c r="I112" s="11" t="n">
        <x:v>22</x:v>
      </x:c>
      <x:c r="J112" s="11" t="str">
        <x:v>Cerrada</x:v>
      </x:c>
      <x:c r="K112" s="11" t="str">
        <x:v>Abastecimiento</x:v>
      </x:c>
    </x:row>
    <x:row r="113">
      <x:c r="A113" s="11" t="n">
        <x:v>112</x:v>
      </x:c>
      <x:c r="B113" s="11" t="str">
        <x:v>2026-07-13</x:v>
      </x:c>
      <x:c r="C113" s="11" t="str">
        <x:v>L3</x:v>
      </x:c>
      <x:c r="D113" s="11" t="str">
        <x:v>Empaque</x:v>
      </x:c>
      <x:c r="E113" s="11" t="str">
        <x:v>Matutino</x:v>
      </x:c>
      <x:c r="F113" s="11" t="str">
        <x:v>ELE</x:v>
      </x:c>
      <x:c r="G113" s="11" t="str">
        <x:v>Falla eléctrica</x:v>
      </x:c>
      <x:c r="H113" s="11" t="str">
        <x:v>Mantenimiento</x:v>
      </x:c>
      <x:c r="I113" s="11" t="n">
        <x:v>27</x:v>
      </x:c>
      <x:c r="J113" s="11" t="str">
        <x:v>Cerrada</x:v>
      </x:c>
      <x:c r="K113" s="11" t="str">
        <x:v>Abastecimiento</x:v>
      </x:c>
    </x:row>
    <x:row r="114">
      <x:c r="A114" s="11" t="n">
        <x:v>113</x:v>
      </x:c>
      <x:c r="B114" s="11" t="str">
        <x:v>2026-07-13</x:v>
      </x:c>
      <x:c r="C114" s="11" t="str">
        <x:v>L3</x:v>
      </x:c>
      <x:c r="D114" s="11" t="str">
        <x:v>Empaque</x:v>
      </x:c>
      <x:c r="E114" s="11" t="str">
        <x:v>Vespertino</x:v>
      </x:c>
      <x:c r="F114" s="11" t="str">
        <x:v>MAT</x:v>
      </x:c>
      <x:c r="G114" s="11" t="str">
        <x:v>Falta de material</x:v>
      </x:c>
      <x:c r="H114" s="11" t="str">
        <x:v>Logística</x:v>
      </x:c>
      <x:c r="I114" s="11" t="n">
        <x:v>6</x:v>
      </x:c>
      <x:c r="J114" s="11" t="str">
        <x:v>Cerrada</x:v>
      </x:c>
      <x:c r="K114" s="11" t="str">
        <x:v>Cambio de componente</x:v>
      </x:c>
    </x:row>
    <x:row r="115">
      <x:c r="A115" s="11" t="n">
        <x:v>114</x:v>
      </x:c>
      <x:c r="B115" s="11" t="str">
        <x:v>2026-07-13</x:v>
      </x:c>
      <x:c r="C115" s="11" t="str">
        <x:v>L4</x:v>
      </x:c>
      <x:c r="D115" s="11" t="str">
        <x:v>Etiquetado</x:v>
      </x:c>
      <x:c r="E115" s="11" t="str">
        <x:v>Matutino</x:v>
      </x:c>
      <x:c r="F115" s="11" t="str">
        <x:v>CAM</x:v>
      </x:c>
      <x:c r="G115" s="11" t="str">
        <x:v>Cambio de formato</x:v>
      </x:c>
      <x:c r="H115" s="11" t="str">
        <x:v>Producción</x:v>
      </x:c>
      <x:c r="I115" s="11" t="n">
        <x:v>35</x:v>
      </x:c>
      <x:c r="J115" s="11" t="str">
        <x:v>Abierta</x:v>
      </x:c>
      <x:c r="K115" s="11" t="str">
        <x:v>Cambio de componente</x:v>
      </x:c>
    </x:row>
    <x:row r="116">
      <x:c r="A116" s="11" t="n">
        <x:v>115</x:v>
      </x:c>
      <x:c r="B116" s="11" t="str">
        <x:v>2026-07-13</x:v>
      </x:c>
      <x:c r="C116" s="11" t="str">
        <x:v>L4</x:v>
      </x:c>
      <x:c r="D116" s="11" t="str">
        <x:v>Etiquetado</x:v>
      </x:c>
      <x:c r="E116" s="11" t="str">
        <x:v>Vespertino</x:v>
      </x:c>
      <x:c r="F116" s="11" t="str">
        <x:v>ELE</x:v>
      </x:c>
      <x:c r="G116" s="11" t="str">
        <x:v>Falla eléctrica</x:v>
      </x:c>
      <x:c r="H116" s="11" t="str">
        <x:v>Mantenimiento</x:v>
      </x:c>
      <x:c r="I116" s="11" t="n">
        <x:v>4</x:v>
      </x:c>
      <x:c r="J116" s="11" t="str">
        <x:v>Cerrada</x:v>
      </x:c>
      <x:c r="K116" s="11" t="str">
        <x:v>Cambio de componente</x:v>
      </x:c>
    </x:row>
    <x:row r="117">
      <x:c r="A117" s="11" t="n">
        <x:v>116</x:v>
      </x:c>
      <x:c r="B117" s="11" t="str">
        <x:v>2026-07-14</x:v>
      </x:c>
      <x:c r="C117" s="11" t="str">
        <x:v>L2</x:v>
      </x:c>
      <x:c r="D117" s="11" t="str">
        <x:v>Envasado B</x:v>
      </x:c>
      <x:c r="E117" s="11" t="str">
        <x:v>Matutino</x:v>
      </x:c>
      <x:c r="F117" s="11" t="str">
        <x:v>MEC</x:v>
      </x:c>
      <x:c r="G117" s="11" t="str">
        <x:v>Falla mecánica</x:v>
      </x:c>
      <x:c r="H117" s="11" t="str">
        <x:v>Mantenimiento</x:v>
      </x:c>
      <x:c r="I117" s="11" t="n">
        <x:v>15</x:v>
      </x:c>
      <x:c r="J117" s="11" t="str">
        <x:v>Cerrada</x:v>
      </x:c>
      <x:c r="K117" s="11" t="str">
        <x:v>Ajuste y prueba</x:v>
      </x:c>
    </x:row>
    <x:row r="118">
      <x:c r="A118" s="11" t="n">
        <x:v>117</x:v>
      </x:c>
      <x:c r="B118" s="11" t="str">
        <x:v>2026-07-14</x:v>
      </x:c>
      <x:c r="C118" s="11" t="str">
        <x:v>L2</x:v>
      </x:c>
      <x:c r="D118" s="11" t="str">
        <x:v>Envasado B</x:v>
      </x:c>
      <x:c r="E118" s="11" t="str">
        <x:v>Vespertino</x:v>
      </x:c>
      <x:c r="F118" s="11" t="str">
        <x:v>MAT</x:v>
      </x:c>
      <x:c r="G118" s="11" t="str">
        <x:v>Falta de material</x:v>
      </x:c>
      <x:c r="H118" s="11" t="str">
        <x:v>Logística</x:v>
      </x:c>
      <x:c r="I118" s="11" t="n">
        <x:v>9</x:v>
      </x:c>
      <x:c r="J118" s="11" t="str">
        <x:v>Abierta</x:v>
      </x:c>
      <x:c r="K118" s="11" t="str">
        <x:v>Abastecimiento</x:v>
      </x:c>
    </x:row>
    <x:row r="119">
      <x:c r="A119" s="11" t="n">
        <x:v>118</x:v>
      </x:c>
      <x:c r="B119" s="11" t="str">
        <x:v>2026-07-14</x:v>
      </x:c>
      <x:c r="C119" s="11" t="str">
        <x:v>L3</x:v>
      </x:c>
      <x:c r="D119" s="11" t="str">
        <x:v>Empaque</x:v>
      </x:c>
      <x:c r="E119" s="11" t="str">
        <x:v>Matutino</x:v>
      </x:c>
      <x:c r="F119" s="11" t="str">
        <x:v>MAT</x:v>
      </x:c>
      <x:c r="G119" s="11" t="str">
        <x:v>Falta de material</x:v>
      </x:c>
      <x:c r="H119" s="11" t="str">
        <x:v>Logística</x:v>
      </x:c>
      <x:c r="I119" s="11" t="n">
        <x:v>29</x:v>
      </x:c>
      <x:c r="J119" s="11" t="str">
        <x:v>Abierta</x:v>
      </x:c>
      <x:c r="K119" s="11" t="str">
        <x:v>Inspección y liberación</x:v>
      </x:c>
    </x:row>
    <x:row r="120">
      <x:c r="A120" s="11" t="n">
        <x:v>119</x:v>
      </x:c>
      <x:c r="B120" s="11" t="str">
        <x:v>2026-07-14</x:v>
      </x:c>
      <x:c r="C120" s="11" t="str">
        <x:v>L3</x:v>
      </x:c>
      <x:c r="D120" s="11" t="str">
        <x:v>Empaque</x:v>
      </x:c>
      <x:c r="E120" s="11" t="str">
        <x:v>Vespertino</x:v>
      </x:c>
      <x:c r="F120" s="11" t="str">
        <x:v>MEC</x:v>
      </x:c>
      <x:c r="G120" s="11" t="str">
        <x:v>Falla mecánica</x:v>
      </x:c>
      <x:c r="H120" s="11" t="str">
        <x:v>Mantenimiento</x:v>
      </x:c>
      <x:c r="I120" s="11" t="n">
        <x:v>12</x:v>
      </x:c>
      <x:c r="J120" s="11" t="str">
        <x:v>Abierta</x:v>
      </x:c>
      <x:c r="K120" s="11" t="str">
        <x:v>Ajuste y prueba</x:v>
      </x:c>
    </x:row>
    <x:row r="121">
      <x:c r="A121" s="11" t="n">
        <x:v>120</x:v>
      </x:c>
      <x:c r="B121" s="11" t="str">
        <x:v>2026-07-14</x:v>
      </x:c>
      <x:c r="C121" s="11" t="str">
        <x:v>L4</x:v>
      </x:c>
      <x:c r="D121" s="11" t="str">
        <x:v>Etiquetado</x:v>
      </x:c>
      <x:c r="E121" s="11" t="str">
        <x:v>Matutino</x:v>
      </x:c>
      <x:c r="F121" s="11" t="str">
        <x:v>MEC</x:v>
      </x:c>
      <x:c r="G121" s="11" t="str">
        <x:v>Falla mecánica</x:v>
      </x:c>
      <x:c r="H121" s="11" t="str">
        <x:v>Mantenimiento</x:v>
      </x:c>
      <x:c r="I121" s="11" t="n">
        <x:v>18</x:v>
      </x:c>
      <x:c r="J121" s="11" t="str">
        <x:v>Abierta</x:v>
      </x:c>
      <x:c r="K121" s="11" t="str">
        <x:v>Abastecimiento</x:v>
      </x:c>
    </x:row>
    <x:row r="122">
      <x:c r="A122" s="11" t="n">
        <x:v>121</x:v>
      </x:c>
      <x:c r="B122" s="11" t="str">
        <x:v>2026-07-14</x:v>
      </x:c>
      <x:c r="C122" s="11" t="str">
        <x:v>L4</x:v>
      </x:c>
      <x:c r="D122" s="11" t="str">
        <x:v>Etiquetado</x:v>
      </x:c>
      <x:c r="E122" s="11" t="str">
        <x:v>Vespertino</x:v>
      </x:c>
      <x:c r="F122" s="11" t="str">
        <x:v>MEC</x:v>
      </x:c>
      <x:c r="G122" s="11" t="str">
        <x:v>Falla mecánica</x:v>
      </x:c>
      <x:c r="H122" s="11" t="str">
        <x:v>Mantenimiento</x:v>
      </x:c>
      <x:c r="I122" s="11" t="n">
        <x:v>20</x:v>
      </x:c>
      <x:c r="J122" s="11" t="str">
        <x:v>Cerrada</x:v>
      </x:c>
      <x:c r="K122" s="11" t="str">
        <x:v>Abastecimiento</x:v>
      </x:c>
    </x:row>
    <x:row r="123">
      <x:c r="A123" s="11" t="n">
        <x:v>122</x:v>
      </x:c>
      <x:c r="B123" s="11" t="str">
        <x:v>2026-07-14</x:v>
      </x:c>
      <x:c r="C123" s="11" t="str">
        <x:v>L4</x:v>
      </x:c>
      <x:c r="D123" s="11" t="str">
        <x:v>Etiquetado</x:v>
      </x:c>
      <x:c r="E123" s="11" t="str">
        <x:v>Vespertino</x:v>
      </x:c>
      <x:c r="F123" s="11" t="str">
        <x:v>ELE</x:v>
      </x:c>
      <x:c r="G123" s="11" t="str">
        <x:v>Falla eléctrica</x:v>
      </x:c>
      <x:c r="H123" s="11" t="str">
        <x:v>Mantenimiento</x:v>
      </x:c>
      <x:c r="I123" s="11" t="n">
        <x:v>25</x:v>
      </x:c>
      <x:c r="J123" s="11" t="str">
        <x:v>Cerrada</x:v>
      </x:c>
      <x:c r="K123" s="11" t="str">
        <x:v>Ajuste y prueba</x:v>
      </x:c>
    </x:row>
    <x:row r="124">
      <x:c r="A124" s="11" t="n">
        <x:v>123</x:v>
      </x:c>
      <x:c r="B124" s="11" t="str">
        <x:v>2026-07-14</x:v>
      </x:c>
      <x:c r="C124" s="11" t="str">
        <x:v>L4</x:v>
      </x:c>
      <x:c r="D124" s="11" t="str">
        <x:v>Etiquetado</x:v>
      </x:c>
      <x:c r="E124" s="11" t="str">
        <x:v>Vespertino</x:v>
      </x:c>
      <x:c r="F124" s="11" t="str">
        <x:v>MAT</x:v>
      </x:c>
      <x:c r="G124" s="11" t="str">
        <x:v>Falta de material</x:v>
      </x:c>
      <x:c r="H124" s="11" t="str">
        <x:v>Logística</x:v>
      </x:c>
      <x:c r="I124" s="11" t="n">
        <x:v>5</x:v>
      </x:c>
      <x:c r="J124" s="11" t="str">
        <x:v>Cerrada</x:v>
      </x:c>
      <x:c r="K124" s="11" t="str">
        <x:v>Ajuste y prueba</x:v>
      </x:c>
    </x:row>
    <x:row r="125">
      <x:c r="A125" s="11" t="n">
        <x:v>124</x:v>
      </x:c>
      <x:c r="B125" s="11" t="str">
        <x:v>2026-07-15</x:v>
      </x:c>
      <x:c r="C125" s="11" t="str">
        <x:v>L1</x:v>
      </x:c>
      <x:c r="D125" s="11" t="str">
        <x:v>Envasado A</x:v>
      </x:c>
      <x:c r="E125" s="11" t="str">
        <x:v>Matutino</x:v>
      </x:c>
      <x:c r="F125" s="11" t="str">
        <x:v>CAL</x:v>
      </x:c>
      <x:c r="G125" s="11" t="str">
        <x:v>Ajuste de calidad</x:v>
      </x:c>
      <x:c r="H125" s="11" t="str">
        <x:v>Calidad</x:v>
      </x:c>
      <x:c r="I125" s="11" t="n">
        <x:v>27</x:v>
      </x:c>
      <x:c r="J125" s="11" t="str">
        <x:v>Cerrada</x:v>
      </x:c>
      <x:c r="K125" s="11" t="str">
        <x:v>Abastecimiento</x:v>
      </x:c>
    </x:row>
    <x:row r="126">
      <x:c r="A126" s="11" t="n">
        <x:v>125</x:v>
      </x:c>
      <x:c r="B126" s="11" t="str">
        <x:v>2026-07-15</x:v>
      </x:c>
      <x:c r="C126" s="11" t="str">
        <x:v>L1</x:v>
      </x:c>
      <x:c r="D126" s="11" t="str">
        <x:v>Envasado A</x:v>
      </x:c>
      <x:c r="E126" s="11" t="str">
        <x:v>Matutino</x:v>
      </x:c>
      <x:c r="F126" s="11" t="str">
        <x:v>MEC</x:v>
      </x:c>
      <x:c r="G126" s="11" t="str">
        <x:v>Falla mecánica</x:v>
      </x:c>
      <x:c r="H126" s="11" t="str">
        <x:v>Mantenimiento</x:v>
      </x:c>
      <x:c r="I126" s="11" t="n">
        <x:v>25</x:v>
      </x:c>
      <x:c r="J126" s="11" t="str">
        <x:v>Abierta</x:v>
      </x:c>
      <x:c r="K126" s="11" t="str">
        <x:v>Reinicio controlado</x:v>
      </x:c>
    </x:row>
    <x:row r="127">
      <x:c r="A127" s="11" t="n">
        <x:v>126</x:v>
      </x:c>
      <x:c r="B127" s="11" t="str">
        <x:v>2026-07-15</x:v>
      </x:c>
      <x:c r="C127" s="11" t="str">
        <x:v>L2</x:v>
      </x:c>
      <x:c r="D127" s="11" t="str">
        <x:v>Envasado B</x:v>
      </x:c>
      <x:c r="E127" s="11" t="str">
        <x:v>Matutino</x:v>
      </x:c>
      <x:c r="F127" s="11" t="str">
        <x:v>MEC</x:v>
      </x:c>
      <x:c r="G127" s="11" t="str">
        <x:v>Falla mecánica</x:v>
      </x:c>
      <x:c r="H127" s="11" t="str">
        <x:v>Mantenimiento</x:v>
      </x:c>
      <x:c r="I127" s="11" t="n">
        <x:v>60</x:v>
      </x:c>
      <x:c r="J127" s="11" t="str">
        <x:v>Cerrada</x:v>
      </x:c>
      <x:c r="K127" s="11" t="str">
        <x:v>Cambio de componente</x:v>
      </x:c>
    </x:row>
    <x:row r="128">
      <x:c r="A128" s="11" t="n">
        <x:v>127</x:v>
      </x:c>
      <x:c r="B128" s="11" t="str">
        <x:v>2026-07-15</x:v>
      </x:c>
      <x:c r="C128" s="11" t="str">
        <x:v>L2</x:v>
      </x:c>
      <x:c r="D128" s="11" t="str">
        <x:v>Envasado B</x:v>
      </x:c>
      <x:c r="E128" s="11" t="str">
        <x:v>Vespertino</x:v>
      </x:c>
      <x:c r="F128" s="11" t="str">
        <x:v>MAT</x:v>
      </x:c>
      <x:c r="G128" s="11" t="str">
        <x:v>Falta de material</x:v>
      </x:c>
      <x:c r="H128" s="11" t="str">
        <x:v>Logística</x:v>
      </x:c>
      <x:c r="I128" s="11" t="n">
        <x:v>32</x:v>
      </x:c>
      <x:c r="J128" s="11" t="str">
        <x:v>Cerrada</x:v>
      </x:c>
      <x:c r="K128" s="11" t="str">
        <x:v>Reinicio controlado</x:v>
      </x:c>
    </x:row>
    <x:row r="129">
      <x:c r="A129" s="11" t="n">
        <x:v>128</x:v>
      </x:c>
      <x:c r="B129" s="11" t="str">
        <x:v>2026-07-15</x:v>
      </x:c>
      <x:c r="C129" s="11" t="str">
        <x:v>L2</x:v>
      </x:c>
      <x:c r="D129" s="11" t="str">
        <x:v>Envasado B</x:v>
      </x:c>
      <x:c r="E129" s="11" t="str">
        <x:v>Vespertino</x:v>
      </x:c>
      <x:c r="F129" s="11" t="str">
        <x:v>CAM</x:v>
      </x:c>
      <x:c r="G129" s="11" t="str">
        <x:v>Cambio de formato</x:v>
      </x:c>
      <x:c r="H129" s="11" t="str">
        <x:v>Producción</x:v>
      </x:c>
      <x:c r="I129" s="11" t="n">
        <x:v>13</x:v>
      </x:c>
      <x:c r="J129" s="11" t="str">
        <x:v>Cerrada</x:v>
      </x:c>
      <x:c r="K129" s="11" t="str">
        <x:v>Cambio de componente</x:v>
      </x:c>
    </x:row>
    <x:row r="130">
      <x:c r="A130" s="11" t="n">
        <x:v>129</x:v>
      </x:c>
      <x:c r="B130" s="11" t="str">
        <x:v>2026-07-15</x:v>
      </x:c>
      <x:c r="C130" s="11" t="str">
        <x:v>L3</x:v>
      </x:c>
      <x:c r="D130" s="11" t="str">
        <x:v>Empaque</x:v>
      </x:c>
      <x:c r="E130" s="11" t="str">
        <x:v>Matutino</x:v>
      </x:c>
      <x:c r="F130" s="11" t="str">
        <x:v>MEC</x:v>
      </x:c>
      <x:c r="G130" s="11" t="str">
        <x:v>Falla mecánica</x:v>
      </x:c>
      <x:c r="H130" s="11" t="str">
        <x:v>Mantenimiento</x:v>
      </x:c>
      <x:c r="I130" s="11" t="n">
        <x:v>6</x:v>
      </x:c>
      <x:c r="J130" s="11" t="str">
        <x:v>Cerrada</x:v>
      </x:c>
      <x:c r="K130" s="11" t="str">
        <x:v>Cambio de componente</x:v>
      </x:c>
    </x:row>
    <x:row r="131">
      <x:c r="A131" s="11" t="n">
        <x:v>130</x:v>
      </x:c>
      <x:c r="B131" s="11" t="str">
        <x:v>2026-07-15</x:v>
      </x:c>
      <x:c r="C131" s="11" t="str">
        <x:v>L4</x:v>
      </x:c>
      <x:c r="D131" s="11" t="str">
        <x:v>Etiquetado</x:v>
      </x:c>
      <x:c r="E131" s="11" t="str">
        <x:v>Matutino</x:v>
      </x:c>
      <x:c r="F131" s="11" t="str">
        <x:v>ELE</x:v>
      </x:c>
      <x:c r="G131" s="11" t="str">
        <x:v>Falla eléctrica</x:v>
      </x:c>
      <x:c r="H131" s="11" t="str">
        <x:v>Mantenimiento</x:v>
      </x:c>
      <x:c r="I131" s="11" t="n">
        <x:v>18</x:v>
      </x:c>
      <x:c r="J131" s="11" t="str">
        <x:v>Abierta</x:v>
      </x:c>
      <x:c r="K131" s="11" t="str">
        <x:v>Ajuste y prueba</x:v>
      </x:c>
    </x:row>
    <x:row r="132">
      <x:c r="A132" s="11" t="n">
        <x:v>131</x:v>
      </x:c>
      <x:c r="B132" s="11" t="str">
        <x:v>2026-07-15</x:v>
      </x:c>
      <x:c r="C132" s="11" t="str">
        <x:v>L4</x:v>
      </x:c>
      <x:c r="D132" s="11" t="str">
        <x:v>Etiquetado</x:v>
      </x:c>
      <x:c r="E132" s="11" t="str">
        <x:v>Matutino</x:v>
      </x:c>
      <x:c r="F132" s="11" t="str">
        <x:v>MEC</x:v>
      </x:c>
      <x:c r="G132" s="11" t="str">
        <x:v>Falla mecánica</x:v>
      </x:c>
      <x:c r="H132" s="11" t="str">
        <x:v>Mantenimiento</x:v>
      </x:c>
      <x:c r="I132" s="11" t="n">
        <x:v>26</x:v>
      </x:c>
      <x:c r="J132" s="11" t="str">
        <x:v>Abierta</x:v>
      </x:c>
      <x:c r="K132" s="11" t="str">
        <x:v>Inspección y liberación</x:v>
      </x:c>
    </x:row>
    <x:row r="133">
      <x:c r="A133" s="11" t="n">
        <x:v>132</x:v>
      </x:c>
      <x:c r="B133" s="11" t="str">
        <x:v>2026-07-15</x:v>
      </x:c>
      <x:c r="C133" s="11" t="str">
        <x:v>L4</x:v>
      </x:c>
      <x:c r="D133" s="11" t="str">
        <x:v>Etiquetado</x:v>
      </x:c>
      <x:c r="E133" s="11" t="str">
        <x:v>Matutino</x:v>
      </x:c>
      <x:c r="F133" s="11" t="str">
        <x:v>CAM</x:v>
      </x:c>
      <x:c r="G133" s="11" t="str">
        <x:v>Cambio de formato</x:v>
      </x:c>
      <x:c r="H133" s="11" t="str">
        <x:v>Producción</x:v>
      </x:c>
      <x:c r="I133" s="11" t="n">
        <x:v>5</x:v>
      </x:c>
      <x:c r="J133" s="11" t="str">
        <x:v>Cerrada</x:v>
      </x:c>
      <x:c r="K133" s="11" t="str">
        <x:v>Ajuste y prueba</x:v>
      </x:c>
    </x:row>
    <x:row r="134">
      <x:c r="A134" s="11" t="n">
        <x:v>133</x:v>
      </x:c>
      <x:c r="B134" s="11" t="str">
        <x:v>2026-07-15</x:v>
      </x:c>
      <x:c r="C134" s="11" t="str">
        <x:v>L4</x:v>
      </x:c>
      <x:c r="D134" s="11" t="str">
        <x:v>Etiquetado</x:v>
      </x:c>
      <x:c r="E134" s="11" t="str">
        <x:v>Vespertino</x:v>
      </x:c>
      <x:c r="F134" s="11" t="str">
        <x:v>CAL</x:v>
      </x:c>
      <x:c r="G134" s="11" t="str">
        <x:v>Ajuste de calidad</x:v>
      </x:c>
      <x:c r="H134" s="11" t="str">
        <x:v>Calidad</x:v>
      </x:c>
      <x:c r="I134" s="11" t="n">
        <x:v>25</x:v>
      </x:c>
      <x:c r="J134" s="11" t="str">
        <x:v>Abierta</x:v>
      </x:c>
      <x:c r="K134" s="11" t="str">
        <x:v>Ajuste y prueba</x:v>
      </x:c>
    </x:row>
    <x:row r="135">
      <x:c r="A135" s="11" t="n">
        <x:v>134</x:v>
      </x:c>
      <x:c r="B135" s="11" t="str">
        <x:v>2026-07-16</x:v>
      </x:c>
      <x:c r="C135" s="11" t="str">
        <x:v>L1</x:v>
      </x:c>
      <x:c r="D135" s="11" t="str">
        <x:v>Envasado A</x:v>
      </x:c>
      <x:c r="E135" s="11" t="str">
        <x:v>Matutino</x:v>
      </x:c>
      <x:c r="F135" s="11" t="str">
        <x:v>MAT</x:v>
      </x:c>
      <x:c r="G135" s="11" t="str">
        <x:v>Falta de material</x:v>
      </x:c>
      <x:c r="H135" s="11" t="str">
        <x:v>Logística</x:v>
      </x:c>
      <x:c r="I135" s="11" t="n">
        <x:v>16</x:v>
      </x:c>
      <x:c r="J135" s="11" t="str">
        <x:v>Cerrada</x:v>
      </x:c>
      <x:c r="K135" s="11" t="str">
        <x:v>Abastecimiento</x:v>
      </x:c>
    </x:row>
    <x:row r="136">
      <x:c r="A136" s="11" t="n">
        <x:v>135</x:v>
      </x:c>
      <x:c r="B136" s="11" t="str">
        <x:v>2026-07-16</x:v>
      </x:c>
      <x:c r="C136" s="11" t="str">
        <x:v>L1</x:v>
      </x:c>
      <x:c r="D136" s="11" t="str">
        <x:v>Envasado A</x:v>
      </x:c>
      <x:c r="E136" s="11" t="str">
        <x:v>Vespertino</x:v>
      </x:c>
      <x:c r="F136" s="11" t="str">
        <x:v>CAM</x:v>
      </x:c>
      <x:c r="G136" s="11" t="str">
        <x:v>Cambio de formato</x:v>
      </x:c>
      <x:c r="H136" s="11" t="str">
        <x:v>Producción</x:v>
      </x:c>
      <x:c r="I136" s="11" t="n">
        <x:v>16</x:v>
      </x:c>
      <x:c r="J136" s="11" t="str">
        <x:v>Abierta</x:v>
      </x:c>
      <x:c r="K136" s="11" t="str">
        <x:v>Ajuste y prueba</x:v>
      </x:c>
    </x:row>
    <x:row r="137">
      <x:c r="A137" s="11" t="n">
        <x:v>136</x:v>
      </x:c>
      <x:c r="B137" s="11" t="str">
        <x:v>2026-07-16</x:v>
      </x:c>
      <x:c r="C137" s="11" t="str">
        <x:v>L1</x:v>
      </x:c>
      <x:c r="D137" s="11" t="str">
        <x:v>Envasado A</x:v>
      </x:c>
      <x:c r="E137" s="11" t="str">
        <x:v>Vespertino</x:v>
      </x:c>
      <x:c r="F137" s="11" t="str">
        <x:v>ELE</x:v>
      </x:c>
      <x:c r="G137" s="11" t="str">
        <x:v>Falla eléctrica</x:v>
      </x:c>
      <x:c r="H137" s="11" t="str">
        <x:v>Mantenimiento</x:v>
      </x:c>
      <x:c r="I137" s="11" t="n">
        <x:v>44</x:v>
      </x:c>
      <x:c r="J137" s="11" t="str">
        <x:v>Abierta</x:v>
      </x:c>
      <x:c r="K137" s="11" t="str">
        <x:v>Reinicio controlado</x:v>
      </x:c>
    </x:row>
    <x:row r="138">
      <x:c r="A138" s="11" t="n">
        <x:v>137</x:v>
      </x:c>
      <x:c r="B138" s="11" t="str">
        <x:v>2026-07-16</x:v>
      </x:c>
      <x:c r="C138" s="11" t="str">
        <x:v>L2</x:v>
      </x:c>
      <x:c r="D138" s="11" t="str">
        <x:v>Envasado B</x:v>
      </x:c>
      <x:c r="E138" s="11" t="str">
        <x:v>Vespertino</x:v>
      </x:c>
      <x:c r="F138" s="11" t="str">
        <x:v>MAT</x:v>
      </x:c>
      <x:c r="G138" s="11" t="str">
        <x:v>Falta de material</x:v>
      </x:c>
      <x:c r="H138" s="11" t="str">
        <x:v>Logística</x:v>
      </x:c>
      <x:c r="I138" s="11" t="n">
        <x:v>33</x:v>
      </x:c>
      <x:c r="J138" s="11" t="str">
        <x:v>Cerrada</x:v>
      </x:c>
      <x:c r="K138" s="11" t="str">
        <x:v>Ajuste y prueba</x:v>
      </x:c>
    </x:row>
    <x:row r="139">
      <x:c r="A139" s="11" t="n">
        <x:v>138</x:v>
      </x:c>
      <x:c r="B139" s="11" t="str">
        <x:v>2026-07-16</x:v>
      </x:c>
      <x:c r="C139" s="11" t="str">
        <x:v>L2</x:v>
      </x:c>
      <x:c r="D139" s="11" t="str">
        <x:v>Envasado B</x:v>
      </x:c>
      <x:c r="E139" s="11" t="str">
        <x:v>Vespertino</x:v>
      </x:c>
      <x:c r="F139" s="11" t="str">
        <x:v>MEC</x:v>
      </x:c>
      <x:c r="G139" s="11" t="str">
        <x:v>Falla mecánica</x:v>
      </x:c>
      <x:c r="H139" s="11" t="str">
        <x:v>Mantenimiento</x:v>
      </x:c>
      <x:c r="I139" s="11" t="n">
        <x:v>12</x:v>
      </x:c>
      <x:c r="J139" s="11" t="str">
        <x:v>Abierta</x:v>
      </x:c>
      <x:c r="K139" s="11" t="str">
        <x:v>Ajuste y prueba</x:v>
      </x:c>
    </x:row>
    <x:row r="140">
      <x:c r="A140" s="11" t="n">
        <x:v>139</x:v>
      </x:c>
      <x:c r="B140" s="11" t="str">
        <x:v>2026-07-16</x:v>
      </x:c>
      <x:c r="C140" s="11" t="str">
        <x:v>L3</x:v>
      </x:c>
      <x:c r="D140" s="11" t="str">
        <x:v>Empaque</x:v>
      </x:c>
      <x:c r="E140" s="11" t="str">
        <x:v>Matutino</x:v>
      </x:c>
      <x:c r="F140" s="11" t="str">
        <x:v>ELE</x:v>
      </x:c>
      <x:c r="G140" s="11" t="str">
        <x:v>Falla eléctrica</x:v>
      </x:c>
      <x:c r="H140" s="11" t="str">
        <x:v>Mantenimiento</x:v>
      </x:c>
      <x:c r="I140" s="11" t="n">
        <x:v>41</x:v>
      </x:c>
      <x:c r="J140" s="11" t="str">
        <x:v>Cerrada</x:v>
      </x:c>
      <x:c r="K140" s="11" t="str">
        <x:v>Reinicio controlado</x:v>
      </x:c>
    </x:row>
    <x:row r="141">
      <x:c r="A141" s="11" t="n">
        <x:v>140</x:v>
      </x:c>
      <x:c r="B141" s="11" t="str">
        <x:v>2026-07-16</x:v>
      </x:c>
      <x:c r="C141" s="11" t="str">
        <x:v>L3</x:v>
      </x:c>
      <x:c r="D141" s="11" t="str">
        <x:v>Empaque</x:v>
      </x:c>
      <x:c r="E141" s="11" t="str">
        <x:v>Vespertino</x:v>
      </x:c>
      <x:c r="F141" s="11" t="str">
        <x:v>MAT</x:v>
      </x:c>
      <x:c r="G141" s="11" t="str">
        <x:v>Falta de material</x:v>
      </x:c>
      <x:c r="H141" s="11" t="str">
        <x:v>Logística</x:v>
      </x:c>
      <x:c r="I141" s="11" t="n">
        <x:v>29</x:v>
      </x:c>
      <x:c r="J141" s="11" t="str">
        <x:v>Cerrada</x:v>
      </x:c>
      <x:c r="K141" s="11" t="str">
        <x:v>Inspección y liberación</x:v>
      </x:c>
    </x:row>
    <x:row r="142">
      <x:c r="A142" s="11" t="n">
        <x:v>141</x:v>
      </x:c>
      <x:c r="B142" s="11" t="str">
        <x:v>2026-07-16</x:v>
      </x:c>
      <x:c r="C142" s="11" t="str">
        <x:v>L4</x:v>
      </x:c>
      <x:c r="D142" s="11" t="str">
        <x:v>Etiquetado</x:v>
      </x:c>
      <x:c r="E142" s="11" t="str">
        <x:v>Matutino</x:v>
      </x:c>
      <x:c r="F142" s="11" t="str">
        <x:v>MAT</x:v>
      </x:c>
      <x:c r="G142" s="11" t="str">
        <x:v>Falta de material</x:v>
      </x:c>
      <x:c r="H142" s="11" t="str">
        <x:v>Logística</x:v>
      </x:c>
      <x:c r="I142" s="11" t="n">
        <x:v>16</x:v>
      </x:c>
      <x:c r="J142" s="11" t="str">
        <x:v>Abierta</x:v>
      </x:c>
      <x:c r="K142" s="11" t="str">
        <x:v>Reinicio controlado</x:v>
      </x:c>
    </x:row>
    <x:row r="143">
      <x:c r="A143" s="11" t="n">
        <x:v>142</x:v>
      </x:c>
      <x:c r="B143" s="11" t="str">
        <x:v>2026-07-16</x:v>
      </x:c>
      <x:c r="C143" s="11" t="str">
        <x:v>L4</x:v>
      </x:c>
      <x:c r="D143" s="11" t="str">
        <x:v>Etiquetado</x:v>
      </x:c>
      <x:c r="E143" s="11" t="str">
        <x:v>Vespertino</x:v>
      </x:c>
      <x:c r="F143" s="11" t="str">
        <x:v>MEC</x:v>
      </x:c>
      <x:c r="G143" s="11" t="str">
        <x:v>Falla mecánica</x:v>
      </x:c>
      <x:c r="H143" s="11" t="str">
        <x:v>Mantenimiento</x:v>
      </x:c>
      <x:c r="I143" s="11" t="n">
        <x:v>13</x:v>
      </x:c>
      <x:c r="J143" s="11" t="str">
        <x:v>Cerrada</x:v>
      </x:c>
      <x:c r="K143" s="11" t="str">
        <x:v>Abastecimiento</x:v>
      </x:c>
    </x:row>
    <x:row r="144">
      <x:c r="A144" s="11" t="n">
        <x:v>143</x:v>
      </x:c>
      <x:c r="B144" s="11" t="str">
        <x:v>2026-07-16</x:v>
      </x:c>
      <x:c r="C144" s="11" t="str">
        <x:v>L4</x:v>
      </x:c>
      <x:c r="D144" s="11" t="str">
        <x:v>Etiquetado</x:v>
      </x:c>
      <x:c r="E144" s="11" t="str">
        <x:v>Vespertino</x:v>
      </x:c>
      <x:c r="F144" s="11" t="str">
        <x:v>CAM</x:v>
      </x:c>
      <x:c r="G144" s="11" t="str">
        <x:v>Cambio de formato</x:v>
      </x:c>
      <x:c r="H144" s="11" t="str">
        <x:v>Producción</x:v>
      </x:c>
      <x:c r="I144" s="11" t="n">
        <x:v>41</x:v>
      </x:c>
      <x:c r="J144" s="11" t="str">
        <x:v>Cerrada</x:v>
      </x:c>
      <x:c r="K144" s="11" t="str">
        <x:v>Abastecimiento</x:v>
      </x:c>
    </x:row>
    <x:row r="145">
      <x:c r="A145" s="11" t="n">
        <x:v>144</x:v>
      </x:c>
      <x:c r="B145" s="11" t="str">
        <x:v>2026-07-17</x:v>
      </x:c>
      <x:c r="C145" s="11" t="str">
        <x:v>L1</x:v>
      </x:c>
      <x:c r="D145" s="11" t="str">
        <x:v>Envasado A</x:v>
      </x:c>
      <x:c r="E145" s="11" t="str">
        <x:v>Vespertino</x:v>
      </x:c>
      <x:c r="F145" s="11" t="str">
        <x:v>CAM</x:v>
      </x:c>
      <x:c r="G145" s="11" t="str">
        <x:v>Cambio de formato</x:v>
      </x:c>
      <x:c r="H145" s="11" t="str">
        <x:v>Producción</x:v>
      </x:c>
      <x:c r="I145" s="11" t="n">
        <x:v>5</x:v>
      </x:c>
      <x:c r="J145" s="11" t="str">
        <x:v>Cerrada</x:v>
      </x:c>
      <x:c r="K145" s="11" t="str">
        <x:v>Cambio de componente</x:v>
      </x:c>
    </x:row>
    <x:row r="146">
      <x:c r="A146" s="11" t="n">
        <x:v>145</x:v>
      </x:c>
      <x:c r="B146" s="11" t="str">
        <x:v>2026-07-17</x:v>
      </x:c>
      <x:c r="C146" s="11" t="str">
        <x:v>L2</x:v>
      </x:c>
      <x:c r="D146" s="11" t="str">
        <x:v>Envasado B</x:v>
      </x:c>
      <x:c r="E146" s="11" t="str">
        <x:v>Matutino</x:v>
      </x:c>
      <x:c r="F146" s="11" t="str">
        <x:v>MEC</x:v>
      </x:c>
      <x:c r="G146" s="11" t="str">
        <x:v>Falla mecánica</x:v>
      </x:c>
      <x:c r="H146" s="11" t="str">
        <x:v>Mantenimiento</x:v>
      </x:c>
      <x:c r="I146" s="11" t="n">
        <x:v>29</x:v>
      </x:c>
      <x:c r="J146" s="11" t="str">
        <x:v>Cerrada</x:v>
      </x:c>
      <x:c r="K146" s="11" t="str">
        <x:v>Ajuste y prueba</x:v>
      </x:c>
    </x:row>
    <x:row r="147">
      <x:c r="A147" s="11" t="n">
        <x:v>146</x:v>
      </x:c>
      <x:c r="B147" s="11" t="str">
        <x:v>2026-07-17</x:v>
      </x:c>
      <x:c r="C147" s="11" t="str">
        <x:v>L2</x:v>
      </x:c>
      <x:c r="D147" s="11" t="str">
        <x:v>Envasado B</x:v>
      </x:c>
      <x:c r="E147" s="11" t="str">
        <x:v>Vespertino</x:v>
      </x:c>
      <x:c r="F147" s="11" t="str">
        <x:v>CAM</x:v>
      </x:c>
      <x:c r="G147" s="11" t="str">
        <x:v>Cambio de formato</x:v>
      </x:c>
      <x:c r="H147" s="11" t="str">
        <x:v>Producción</x:v>
      </x:c>
      <x:c r="I147" s="11" t="n">
        <x:v>11</x:v>
      </x:c>
      <x:c r="J147" s="11" t="str">
        <x:v>Cerrada</x:v>
      </x:c>
      <x:c r="K147" s="11" t="str">
        <x:v>Inspección y liberación</x:v>
      </x:c>
    </x:row>
    <x:row r="148">
      <x:c r="A148" s="11" t="n">
        <x:v>147</x:v>
      </x:c>
      <x:c r="B148" s="11" t="str">
        <x:v>2026-07-17</x:v>
      </x:c>
      <x:c r="C148" s="11" t="str">
        <x:v>L2</x:v>
      </x:c>
      <x:c r="D148" s="11" t="str">
        <x:v>Envasado B</x:v>
      </x:c>
      <x:c r="E148" s="11" t="str">
        <x:v>Vespertino</x:v>
      </x:c>
      <x:c r="F148" s="11" t="str">
        <x:v>CAM</x:v>
      </x:c>
      <x:c r="G148" s="11" t="str">
        <x:v>Cambio de formato</x:v>
      </x:c>
      <x:c r="H148" s="11" t="str">
        <x:v>Producción</x:v>
      </x:c>
      <x:c r="I148" s="11" t="n">
        <x:v>48</x:v>
      </x:c>
      <x:c r="J148" s="11" t="str">
        <x:v>Cerrada</x:v>
      </x:c>
      <x:c r="K148" s="11" t="str">
        <x:v>Inspección y liberación</x:v>
      </x:c>
    </x:row>
    <x:row r="149">
      <x:c r="A149" s="11" t="n">
        <x:v>148</x:v>
      </x:c>
      <x:c r="B149" s="11" t="str">
        <x:v>2026-07-17</x:v>
      </x:c>
      <x:c r="C149" s="11" t="str">
        <x:v>L3</x:v>
      </x:c>
      <x:c r="D149" s="11" t="str">
        <x:v>Empaque</x:v>
      </x:c>
      <x:c r="E149" s="11" t="str">
        <x:v>Matutino</x:v>
      </x:c>
      <x:c r="F149" s="11" t="str">
        <x:v>MAT</x:v>
      </x:c>
      <x:c r="G149" s="11" t="str">
        <x:v>Falta de material</x:v>
      </x:c>
      <x:c r="H149" s="11" t="str">
        <x:v>Logística</x:v>
      </x:c>
      <x:c r="I149" s="11" t="n">
        <x:v>32</x:v>
      </x:c>
      <x:c r="J149" s="11" t="str">
        <x:v>Abierta</x:v>
      </x:c>
      <x:c r="K149" s="11" t="str">
        <x:v>Cambio de componente</x:v>
      </x:c>
    </x:row>
    <x:row r="150">
      <x:c r="A150" s="11" t="n">
        <x:v>149</x:v>
      </x:c>
      <x:c r="B150" s="11" t="str">
        <x:v>2026-07-17</x:v>
      </x:c>
      <x:c r="C150" s="11" t="str">
        <x:v>L3</x:v>
      </x:c>
      <x:c r="D150" s="11" t="str">
        <x:v>Empaque</x:v>
      </x:c>
      <x:c r="E150" s="11" t="str">
        <x:v>Matutino</x:v>
      </x:c>
      <x:c r="F150" s="11" t="str">
        <x:v>CAM</x:v>
      </x:c>
      <x:c r="G150" s="11" t="str">
        <x:v>Cambio de formato</x:v>
      </x:c>
      <x:c r="H150" s="11" t="str">
        <x:v>Producción</x:v>
      </x:c>
      <x:c r="I150" s="11" t="n">
        <x:v>19</x:v>
      </x:c>
      <x:c r="J150" s="11" t="str">
        <x:v>Abierta</x:v>
      </x:c>
      <x:c r="K150" s="11" t="str">
        <x:v>Abastecimiento</x:v>
      </x:c>
    </x:row>
    <x:row r="151">
      <x:c r="A151" s="11" t="n">
        <x:v>150</x:v>
      </x:c>
      <x:c r="B151" s="11" t="str">
        <x:v>2026-07-17</x:v>
      </x:c>
      <x:c r="C151" s="11" t="str">
        <x:v>L3</x:v>
      </x:c>
      <x:c r="D151" s="11" t="str">
        <x:v>Empaque</x:v>
      </x:c>
      <x:c r="E151" s="11" t="str">
        <x:v>Matutino</x:v>
      </x:c>
      <x:c r="F151" s="11" t="str">
        <x:v>CAM</x:v>
      </x:c>
      <x:c r="G151" s="11" t="str">
        <x:v>Cambio de formato</x:v>
      </x:c>
      <x:c r="H151" s="11" t="str">
        <x:v>Producción</x:v>
      </x:c>
      <x:c r="I151" s="11" t="n">
        <x:v>5</x:v>
      </x:c>
      <x:c r="J151" s="11" t="str">
        <x:v>Abierta</x:v>
      </x:c>
      <x:c r="K151" s="11" t="str">
        <x:v>Ajuste y prueba</x:v>
      </x:c>
    </x:row>
    <x:row r="152">
      <x:c r="A152" s="11" t="n">
        <x:v>151</x:v>
      </x:c>
      <x:c r="B152" s="11" t="str">
        <x:v>2026-07-17</x:v>
      </x:c>
      <x:c r="C152" s="11" t="str">
        <x:v>L3</x:v>
      </x:c>
      <x:c r="D152" s="11" t="str">
        <x:v>Empaque</x:v>
      </x:c>
      <x:c r="E152" s="11" t="str">
        <x:v>Vespertino</x:v>
      </x:c>
      <x:c r="F152" s="11" t="str">
        <x:v>MAT</x:v>
      </x:c>
      <x:c r="G152" s="11" t="str">
        <x:v>Falta de material</x:v>
      </x:c>
      <x:c r="H152" s="11" t="str">
        <x:v>Logística</x:v>
      </x:c>
      <x:c r="I152" s="11" t="n">
        <x:v>29</x:v>
      </x:c>
      <x:c r="J152" s="11" t="str">
        <x:v>Cerrada</x:v>
      </x:c>
      <x:c r="K152" s="11" t="str">
        <x:v>Ajuste y prueba</x:v>
      </x:c>
    </x:row>
    <x:row r="153">
      <x:c r="A153" s="11" t="n">
        <x:v>152</x:v>
      </x:c>
      <x:c r="B153" s="11" t="str">
        <x:v>2026-07-17</x:v>
      </x:c>
      <x:c r="C153" s="11" t="str">
        <x:v>L4</x:v>
      </x:c>
      <x:c r="D153" s="11" t="str">
        <x:v>Etiquetado</x:v>
      </x:c>
      <x:c r="E153" s="11" t="str">
        <x:v>Vespertino</x:v>
      </x:c>
      <x:c r="F153" s="11" t="str">
        <x:v>CAL</x:v>
      </x:c>
      <x:c r="G153" s="11" t="str">
        <x:v>Ajuste de calidad</x:v>
      </x:c>
      <x:c r="H153" s="11" t="str">
        <x:v>Calidad</x:v>
      </x:c>
      <x:c r="I153" s="11" t="n">
        <x:v>24</x:v>
      </x:c>
      <x:c r="J153" s="11" t="str">
        <x:v>Cerrada</x:v>
      </x:c>
      <x:c r="K153" s="11" t="str">
        <x:v>Reinicio controlado</x:v>
      </x:c>
    </x:row>
    <x:row r="154">
      <x:c r="A154" s="11" t="n">
        <x:v>153</x:v>
      </x:c>
      <x:c r="B154" s="11" t="str">
        <x:v>2026-07-18</x:v>
      </x:c>
      <x:c r="C154" s="11" t="str">
        <x:v>L1</x:v>
      </x:c>
      <x:c r="D154" s="11" t="str">
        <x:v>Envasado A</x:v>
      </x:c>
      <x:c r="E154" s="11" t="str">
        <x:v>Matutino</x:v>
      </x:c>
      <x:c r="F154" s="11" t="str">
        <x:v>CAL</x:v>
      </x:c>
      <x:c r="G154" s="11" t="str">
        <x:v>Ajuste de calidad</x:v>
      </x:c>
      <x:c r="H154" s="11" t="str">
        <x:v>Calidad</x:v>
      </x:c>
      <x:c r="I154" s="11" t="n">
        <x:v>20</x:v>
      </x:c>
      <x:c r="J154" s="11" t="str">
        <x:v>Abierta</x:v>
      </x:c>
      <x:c r="K154" s="11" t="str">
        <x:v>Abastecimiento</x:v>
      </x:c>
    </x:row>
    <x:row r="155">
      <x:c r="A155" s="11" t="n">
        <x:v>154</x:v>
      </x:c>
      <x:c r="B155" s="11" t="str">
        <x:v>2026-07-18</x:v>
      </x:c>
      <x:c r="C155" s="11" t="str">
        <x:v>L1</x:v>
      </x:c>
      <x:c r="D155" s="11" t="str">
        <x:v>Envasado A</x:v>
      </x:c>
      <x:c r="E155" s="11" t="str">
        <x:v>Vespertino</x:v>
      </x:c>
      <x:c r="F155" s="11" t="str">
        <x:v>ELE</x:v>
      </x:c>
      <x:c r="G155" s="11" t="str">
        <x:v>Falla eléctrica</x:v>
      </x:c>
      <x:c r="H155" s="11" t="str">
        <x:v>Mantenimiento</x:v>
      </x:c>
      <x:c r="I155" s="11" t="n">
        <x:v>20</x:v>
      </x:c>
      <x:c r="J155" s="11" t="str">
        <x:v>Cerrada</x:v>
      </x:c>
      <x:c r="K155" s="11" t="str">
        <x:v>Reinicio controlado</x:v>
      </x:c>
    </x:row>
    <x:row r="156">
      <x:c r="A156" s="11" t="n">
        <x:v>155</x:v>
      </x:c>
      <x:c r="B156" s="11" t="str">
        <x:v>2026-07-18</x:v>
      </x:c>
      <x:c r="C156" s="11" t="str">
        <x:v>L2</x:v>
      </x:c>
      <x:c r="D156" s="11" t="str">
        <x:v>Envasado B</x:v>
      </x:c>
      <x:c r="E156" s="11" t="str">
        <x:v>Matutino</x:v>
      </x:c>
      <x:c r="F156" s="11" t="str">
        <x:v>CAM</x:v>
      </x:c>
      <x:c r="G156" s="11" t="str">
        <x:v>Cambio de formato</x:v>
      </x:c>
      <x:c r="H156" s="11" t="str">
        <x:v>Producción</x:v>
      </x:c>
      <x:c r="I156" s="11" t="n">
        <x:v>14</x:v>
      </x:c>
      <x:c r="J156" s="11" t="str">
        <x:v>Cerrada</x:v>
      </x:c>
      <x:c r="K156" s="11" t="str">
        <x:v>Inspección y liberación</x:v>
      </x:c>
    </x:row>
    <x:row r="157">
      <x:c r="A157" s="11" t="n">
        <x:v>156</x:v>
      </x:c>
      <x:c r="B157" s="11" t="str">
        <x:v>2026-07-18</x:v>
      </x:c>
      <x:c r="C157" s="11" t="str">
        <x:v>L2</x:v>
      </x:c>
      <x:c r="D157" s="11" t="str">
        <x:v>Envasado B</x:v>
      </x:c>
      <x:c r="E157" s="11" t="str">
        <x:v>Vespertino</x:v>
      </x:c>
      <x:c r="F157" s="11" t="str">
        <x:v>MEC</x:v>
      </x:c>
      <x:c r="G157" s="11" t="str">
        <x:v>Falla mecánica</x:v>
      </x:c>
      <x:c r="H157" s="11" t="str">
        <x:v>Mantenimiento</x:v>
      </x:c>
      <x:c r="I157" s="11" t="n">
        <x:v>50</x:v>
      </x:c>
      <x:c r="J157" s="11" t="str">
        <x:v>Cerrada</x:v>
      </x:c>
      <x:c r="K157" s="11" t="str">
        <x:v>Inspección y liberación</x:v>
      </x:c>
    </x:row>
    <x:row r="158">
      <x:c r="A158" s="11" t="n">
        <x:v>157</x:v>
      </x:c>
      <x:c r="B158" s="11" t="str">
        <x:v>2026-07-18</x:v>
      </x:c>
      <x:c r="C158" s="11" t="str">
        <x:v>L3</x:v>
      </x:c>
      <x:c r="D158" s="11" t="str">
        <x:v>Empaque</x:v>
      </x:c>
      <x:c r="E158" s="11" t="str">
        <x:v>Matutino</x:v>
      </x:c>
      <x:c r="F158" s="11" t="str">
        <x:v>CAM</x:v>
      </x:c>
      <x:c r="G158" s="11" t="str">
        <x:v>Cambio de formato</x:v>
      </x:c>
      <x:c r="H158" s="11" t="str">
        <x:v>Producción</x:v>
      </x:c>
      <x:c r="I158" s="11" t="n">
        <x:v>3</x:v>
      </x:c>
      <x:c r="J158" s="11" t="str">
        <x:v>Cerrada</x:v>
      </x:c>
      <x:c r="K158" s="11" t="str">
        <x:v>Cambio de componente</x:v>
      </x:c>
    </x:row>
    <x:row r="159">
      <x:c r="A159" s="11" t="n">
        <x:v>158</x:v>
      </x:c>
      <x:c r="B159" s="11" t="str">
        <x:v>2026-07-18</x:v>
      </x:c>
      <x:c r="C159" s="11" t="str">
        <x:v>L3</x:v>
      </x:c>
      <x:c r="D159" s="11" t="str">
        <x:v>Empaque</x:v>
      </x:c>
      <x:c r="E159" s="11" t="str">
        <x:v>Vespertino</x:v>
      </x:c>
      <x:c r="F159" s="11" t="str">
        <x:v>MEC</x:v>
      </x:c>
      <x:c r="G159" s="11" t="str">
        <x:v>Falla mecánica</x:v>
      </x:c>
      <x:c r="H159" s="11" t="str">
        <x:v>Mantenimiento</x:v>
      </x:c>
      <x:c r="I159" s="11" t="n">
        <x:v>43</x:v>
      </x:c>
      <x:c r="J159" s="11" t="str">
        <x:v>Cerrada</x:v>
      </x:c>
      <x:c r="K159" s="11" t="str">
        <x:v>Reinicio controlado</x:v>
      </x:c>
    </x:row>
    <x:row r="160">
      <x:c r="A160" s="11" t="n">
        <x:v>159</x:v>
      </x:c>
      <x:c r="B160" s="11" t="str">
        <x:v>2026-07-18</x:v>
      </x:c>
      <x:c r="C160" s="11" t="str">
        <x:v>L4</x:v>
      </x:c>
      <x:c r="D160" s="11" t="str">
        <x:v>Etiquetado</x:v>
      </x:c>
      <x:c r="E160" s="11" t="str">
        <x:v>Matutino</x:v>
      </x:c>
      <x:c r="F160" s="11" t="str">
        <x:v>ELE</x:v>
      </x:c>
      <x:c r="G160" s="11" t="str">
        <x:v>Falla eléctrica</x:v>
      </x:c>
      <x:c r="H160" s="11" t="str">
        <x:v>Mantenimiento</x:v>
      </x:c>
      <x:c r="I160" s="11" t="n">
        <x:v>22</x:v>
      </x:c>
      <x:c r="J160" s="11" t="str">
        <x:v>Cerrada</x:v>
      </x:c>
      <x:c r="K160" s="11" t="str">
        <x:v>Reinicio controlado</x:v>
      </x:c>
    </x:row>
    <x:row r="161">
      <x:c r="A161" s="11" t="n">
        <x:v>160</x:v>
      </x:c>
      <x:c r="B161" s="11" t="str">
        <x:v>2026-07-18</x:v>
      </x:c>
      <x:c r="C161" s="11" t="str">
        <x:v>L4</x:v>
      </x:c>
      <x:c r="D161" s="11" t="str">
        <x:v>Etiquetado</x:v>
      </x:c>
      <x:c r="E161" s="11" t="str">
        <x:v>Vespertino</x:v>
      </x:c>
      <x:c r="F161" s="11" t="str">
        <x:v>MEC</x:v>
      </x:c>
      <x:c r="G161" s="11" t="str">
        <x:v>Falla mecánica</x:v>
      </x:c>
      <x:c r="H161" s="11" t="str">
        <x:v>Mantenimiento</x:v>
      </x:c>
      <x:c r="I161" s="11" t="n">
        <x:v>29</x:v>
      </x:c>
      <x:c r="J161" s="11" t="str">
        <x:v>Cerrada</x:v>
      </x:c>
      <x:c r="K161" s="11" t="str">
        <x:v>Inspección y liberación</x:v>
      </x:c>
    </x:row>
    <x:row r="162">
      <x:c r="A162" s="11" t="n">
        <x:v>161</x:v>
      </x:c>
      <x:c r="B162" s="11" t="str">
        <x:v>2026-07-19</x:v>
      </x:c>
      <x:c r="C162" s="11" t="str">
        <x:v>L1</x:v>
      </x:c>
      <x:c r="D162" s="11" t="str">
        <x:v>Envasado A</x:v>
      </x:c>
      <x:c r="E162" s="11" t="str">
        <x:v>Matutino</x:v>
      </x:c>
      <x:c r="F162" s="11" t="str">
        <x:v>CAM</x:v>
      </x:c>
      <x:c r="G162" s="11" t="str">
        <x:v>Cambio de formato</x:v>
      </x:c>
      <x:c r="H162" s="11" t="str">
        <x:v>Producción</x:v>
      </x:c>
      <x:c r="I162" s="11" t="n">
        <x:v>5</x:v>
      </x:c>
      <x:c r="J162" s="11" t="str">
        <x:v>Cerrada</x:v>
      </x:c>
      <x:c r="K162" s="11" t="str">
        <x:v>Cambio de componente</x:v>
      </x:c>
    </x:row>
    <x:row r="163">
      <x:c r="A163" s="11" t="n">
        <x:v>162</x:v>
      </x:c>
      <x:c r="B163" s="11" t="str">
        <x:v>2026-07-19</x:v>
      </x:c>
      <x:c r="C163" s="11" t="str">
        <x:v>L1</x:v>
      </x:c>
      <x:c r="D163" s="11" t="str">
        <x:v>Envasado A</x:v>
      </x:c>
      <x:c r="E163" s="11" t="str">
        <x:v>Vespertino</x:v>
      </x:c>
      <x:c r="F163" s="11" t="str">
        <x:v>MEC</x:v>
      </x:c>
      <x:c r="G163" s="11" t="str">
        <x:v>Falla mecánica</x:v>
      </x:c>
      <x:c r="H163" s="11" t="str">
        <x:v>Mantenimiento</x:v>
      </x:c>
      <x:c r="I163" s="11" t="n">
        <x:v>8</x:v>
      </x:c>
      <x:c r="J163" s="11" t="str">
        <x:v>Cerrada</x:v>
      </x:c>
      <x:c r="K163" s="11" t="str">
        <x:v>Abastecimiento</x:v>
      </x:c>
    </x:row>
    <x:row r="164">
      <x:c r="A164" s="11" t="n">
        <x:v>163</x:v>
      </x:c>
      <x:c r="B164" s="11" t="str">
        <x:v>2026-07-19</x:v>
      </x:c>
      <x:c r="C164" s="11" t="str">
        <x:v>L2</x:v>
      </x:c>
      <x:c r="D164" s="11" t="str">
        <x:v>Envasado B</x:v>
      </x:c>
      <x:c r="E164" s="11" t="str">
        <x:v>Matutino</x:v>
      </x:c>
      <x:c r="F164" s="11" t="str">
        <x:v>CAL</x:v>
      </x:c>
      <x:c r="G164" s="11" t="str">
        <x:v>Ajuste de calidad</x:v>
      </x:c>
      <x:c r="H164" s="11" t="str">
        <x:v>Calidad</x:v>
      </x:c>
      <x:c r="I164" s="11" t="n">
        <x:v>13</x:v>
      </x:c>
      <x:c r="J164" s="11" t="str">
        <x:v>Cerrada</x:v>
      </x:c>
      <x:c r="K164" s="11" t="str">
        <x:v>Ajuste y prueba</x:v>
      </x:c>
    </x:row>
    <x:row r="165">
      <x:c r="A165" s="11" t="n">
        <x:v>164</x:v>
      </x:c>
      <x:c r="B165" s="11" t="str">
        <x:v>2026-07-19</x:v>
      </x:c>
      <x:c r="C165" s="11" t="str">
        <x:v>L2</x:v>
      </x:c>
      <x:c r="D165" s="11" t="str">
        <x:v>Envasado B</x:v>
      </x:c>
      <x:c r="E165" s="11" t="str">
        <x:v>Vespertino</x:v>
      </x:c>
      <x:c r="F165" s="11" t="str">
        <x:v>CAM</x:v>
      </x:c>
      <x:c r="G165" s="11" t="str">
        <x:v>Cambio de formato</x:v>
      </x:c>
      <x:c r="H165" s="11" t="str">
        <x:v>Producción</x:v>
      </x:c>
      <x:c r="I165" s="11" t="n">
        <x:v>17</x:v>
      </x:c>
      <x:c r="J165" s="11" t="str">
        <x:v>Cerrada</x:v>
      </x:c>
      <x:c r="K165" s="11" t="str">
        <x:v>Reinicio controlado</x:v>
      </x:c>
    </x:row>
    <x:row r="166">
      <x:c r="A166" s="11" t="n">
        <x:v>165</x:v>
      </x:c>
      <x:c r="B166" s="11" t="str">
        <x:v>2026-07-20</x:v>
      </x:c>
      <x:c r="C166" s="11" t="str">
        <x:v>L1</x:v>
      </x:c>
      <x:c r="D166" s="11" t="str">
        <x:v>Envasado A</x:v>
      </x:c>
      <x:c r="E166" s="11" t="str">
        <x:v>Vespertino</x:v>
      </x:c>
      <x:c r="F166" s="11" t="str">
        <x:v>MEC</x:v>
      </x:c>
      <x:c r="G166" s="11" t="str">
        <x:v>Falla mecánica</x:v>
      </x:c>
      <x:c r="H166" s="11" t="str">
        <x:v>Mantenimiento</x:v>
      </x:c>
      <x:c r="I166" s="11" t="n">
        <x:v>11</x:v>
      </x:c>
      <x:c r="J166" s="11" t="str">
        <x:v>Cerrada</x:v>
      </x:c>
      <x:c r="K166" s="11" t="str">
        <x:v>Ajuste y prueba</x:v>
      </x:c>
    </x:row>
    <x:row r="167">
      <x:c r="A167" s="11" t="n">
        <x:v>166</x:v>
      </x:c>
      <x:c r="B167" s="11" t="str">
        <x:v>2026-07-20</x:v>
      </x:c>
      <x:c r="C167" s="11" t="str">
        <x:v>L2</x:v>
      </x:c>
      <x:c r="D167" s="11" t="str">
        <x:v>Envasado B</x:v>
      </x:c>
      <x:c r="E167" s="11" t="str">
        <x:v>Matutino</x:v>
      </x:c>
      <x:c r="F167" s="11" t="str">
        <x:v>MEC</x:v>
      </x:c>
      <x:c r="G167" s="11" t="str">
        <x:v>Falla mecánica</x:v>
      </x:c>
      <x:c r="H167" s="11" t="str">
        <x:v>Mantenimiento</x:v>
      </x:c>
      <x:c r="I167" s="11" t="n">
        <x:v>35</x:v>
      </x:c>
      <x:c r="J167" s="11" t="str">
        <x:v>Cerrada</x:v>
      </x:c>
      <x:c r="K167" s="11" t="str">
        <x:v>Abastecimiento</x:v>
      </x:c>
    </x:row>
    <x:row r="168">
      <x:c r="A168" s="11" t="n">
        <x:v>167</x:v>
      </x:c>
      <x:c r="B168" s="11" t="str">
        <x:v>2026-07-20</x:v>
      </x:c>
      <x:c r="C168" s="11" t="str">
        <x:v>L2</x:v>
      </x:c>
      <x:c r="D168" s="11" t="str">
        <x:v>Envasado B</x:v>
      </x:c>
      <x:c r="E168" s="11" t="str">
        <x:v>Vespertino</x:v>
      </x:c>
      <x:c r="F168" s="11" t="str">
        <x:v>CAL</x:v>
      </x:c>
      <x:c r="G168" s="11" t="str">
        <x:v>Ajuste de calidad</x:v>
      </x:c>
      <x:c r="H168" s="11" t="str">
        <x:v>Calidad</x:v>
      </x:c>
      <x:c r="I168" s="11" t="n">
        <x:v>78</x:v>
      </x:c>
      <x:c r="J168" s="11" t="str">
        <x:v>Abierta</x:v>
      </x:c>
      <x:c r="K168" s="11" t="str">
        <x:v>Ajuste y prueba</x:v>
      </x:c>
    </x:row>
    <x:row r="169">
      <x:c r="A169" s="11" t="n">
        <x:v>168</x:v>
      </x:c>
      <x:c r="B169" s="11" t="str">
        <x:v>2026-07-20</x:v>
      </x:c>
      <x:c r="C169" s="11" t="str">
        <x:v>L3</x:v>
      </x:c>
      <x:c r="D169" s="11" t="str">
        <x:v>Empaque</x:v>
      </x:c>
      <x:c r="E169" s="11" t="str">
        <x:v>Matutino</x:v>
      </x:c>
      <x:c r="F169" s="11" t="str">
        <x:v>CAL</x:v>
      </x:c>
      <x:c r="G169" s="11" t="str">
        <x:v>Ajuste de calidad</x:v>
      </x:c>
      <x:c r="H169" s="11" t="str">
        <x:v>Calidad</x:v>
      </x:c>
      <x:c r="I169" s="11" t="n">
        <x:v>8</x:v>
      </x:c>
      <x:c r="J169" s="11" t="str">
        <x:v>Cerrada</x:v>
      </x:c>
      <x:c r="K169" s="11" t="str">
        <x:v>Inspección y liberación</x:v>
      </x:c>
    </x:row>
    <x:row r="170">
      <x:c r="A170" s="11" t="n">
        <x:v>169</x:v>
      </x:c>
      <x:c r="B170" s="11" t="str">
        <x:v>2026-07-20</x:v>
      </x:c>
      <x:c r="C170" s="11" t="str">
        <x:v>L3</x:v>
      </x:c>
      <x:c r="D170" s="11" t="str">
        <x:v>Empaque</x:v>
      </x:c>
      <x:c r="E170" s="11" t="str">
        <x:v>Vespertino</x:v>
      </x:c>
      <x:c r="F170" s="11" t="str">
        <x:v>CAL</x:v>
      </x:c>
      <x:c r="G170" s="11" t="str">
        <x:v>Ajuste de calidad</x:v>
      </x:c>
      <x:c r="H170" s="11" t="str">
        <x:v>Calidad</x:v>
      </x:c>
      <x:c r="I170" s="11" t="n">
        <x:v>24</x:v>
      </x:c>
      <x:c r="J170" s="11" t="str">
        <x:v>Cerrada</x:v>
      </x:c>
      <x:c r="K170" s="11" t="str">
        <x:v>Abastecimiento</x:v>
      </x:c>
    </x:row>
    <x:row r="171">
      <x:c r="A171" s="11" t="n">
        <x:v>170</x:v>
      </x:c>
      <x:c r="B171" s="11" t="str">
        <x:v>2026-07-20</x:v>
      </x:c>
      <x:c r="C171" s="11" t="str">
        <x:v>L4</x:v>
      </x:c>
      <x:c r="D171" s="11" t="str">
        <x:v>Etiquetado</x:v>
      </x:c>
      <x:c r="E171" s="11" t="str">
        <x:v>Matutino</x:v>
      </x:c>
      <x:c r="F171" s="11" t="str">
        <x:v>MAT</x:v>
      </x:c>
      <x:c r="G171" s="11" t="str">
        <x:v>Falta de material</x:v>
      </x:c>
      <x:c r="H171" s="11" t="str">
        <x:v>Logística</x:v>
      </x:c>
      <x:c r="I171" s="11" t="n">
        <x:v>22</x:v>
      </x:c>
      <x:c r="J171" s="11" t="str">
        <x:v>Cerrada</x:v>
      </x:c>
      <x:c r="K171" s="11" t="str">
        <x:v>Ajuste y prueba</x:v>
      </x:c>
    </x:row>
    <x:row r="172">
      <x:c r="A172" s="11" t="n">
        <x:v>171</x:v>
      </x:c>
      <x:c r="B172" s="11" t="str">
        <x:v>2026-07-20</x:v>
      </x:c>
      <x:c r="C172" s="11" t="str">
        <x:v>L4</x:v>
      </x:c>
      <x:c r="D172" s="11" t="str">
        <x:v>Etiquetado</x:v>
      </x:c>
      <x:c r="E172" s="11" t="str">
        <x:v>Vespertino</x:v>
      </x:c>
      <x:c r="F172" s="11" t="str">
        <x:v>CAM</x:v>
      </x:c>
      <x:c r="G172" s="11" t="str">
        <x:v>Cambio de formato</x:v>
      </x:c>
      <x:c r="H172" s="11" t="str">
        <x:v>Producción</x:v>
      </x:c>
      <x:c r="I172" s="11" t="n">
        <x:v>35</x:v>
      </x:c>
      <x:c r="J172" s="11" t="str">
        <x:v>Cerrada</x:v>
      </x:c>
      <x:c r="K172" s="11" t="str">
        <x:v>Inspección y liberación</x:v>
      </x:c>
    </x:row>
    <x:row r="173">
      <x:c r="A173" s="11" t="n">
        <x:v>172</x:v>
      </x:c>
      <x:c r="B173" s="11" t="str">
        <x:v>2026-07-20</x:v>
      </x:c>
      <x:c r="C173" s="11" t="str">
        <x:v>L4</x:v>
      </x:c>
      <x:c r="D173" s="11" t="str">
        <x:v>Etiquetado</x:v>
      </x:c>
      <x:c r="E173" s="11" t="str">
        <x:v>Vespertino</x:v>
      </x:c>
      <x:c r="F173" s="11" t="str">
        <x:v>CAL</x:v>
      </x:c>
      <x:c r="G173" s="11" t="str">
        <x:v>Ajuste de calidad</x:v>
      </x:c>
      <x:c r="H173" s="11" t="str">
        <x:v>Calidad</x:v>
      </x:c>
      <x:c r="I173" s="11" t="n">
        <x:v>15</x:v>
      </x:c>
      <x:c r="J173" s="11" t="str">
        <x:v>Cerrada</x:v>
      </x:c>
      <x:c r="K173" s="11" t="str">
        <x:v>Reinicio controlado</x:v>
      </x:c>
    </x:row>
    <x:row r="174">
      <x:c r="A174" s="11" t="n">
        <x:v>173</x:v>
      </x:c>
      <x:c r="B174" s="11" t="str">
        <x:v>2026-07-21</x:v>
      </x:c>
      <x:c r="C174" s="11" t="str">
        <x:v>L1</x:v>
      </x:c>
      <x:c r="D174" s="11" t="str">
        <x:v>Envasado A</x:v>
      </x:c>
      <x:c r="E174" s="11" t="str">
        <x:v>Matutino</x:v>
      </x:c>
      <x:c r="F174" s="11" t="str">
        <x:v>CAM</x:v>
      </x:c>
      <x:c r="G174" s="11" t="str">
        <x:v>Cambio de formato</x:v>
      </x:c>
      <x:c r="H174" s="11" t="str">
        <x:v>Producción</x:v>
      </x:c>
      <x:c r="I174" s="11" t="n">
        <x:v>2</x:v>
      </x:c>
      <x:c r="J174" s="11" t="str">
        <x:v>Abierta</x:v>
      </x:c>
      <x:c r="K174" s="11" t="str">
        <x:v>Ajuste y prueba</x:v>
      </x:c>
    </x:row>
    <x:row r="175">
      <x:c r="A175" s="11" t="n">
        <x:v>174</x:v>
      </x:c>
      <x:c r="B175" s="11" t="str">
        <x:v>2026-07-21</x:v>
      </x:c>
      <x:c r="C175" s="11" t="str">
        <x:v>L1</x:v>
      </x:c>
      <x:c r="D175" s="11" t="str">
        <x:v>Envasado A</x:v>
      </x:c>
      <x:c r="E175" s="11" t="str">
        <x:v>Vespertino</x:v>
      </x:c>
      <x:c r="F175" s="11" t="str">
        <x:v>ELE</x:v>
      </x:c>
      <x:c r="G175" s="11" t="str">
        <x:v>Falla eléctrica</x:v>
      </x:c>
      <x:c r="H175" s="11" t="str">
        <x:v>Mantenimiento</x:v>
      </x:c>
      <x:c r="I175" s="11" t="n">
        <x:v>6</x:v>
      </x:c>
      <x:c r="J175" s="11" t="str">
        <x:v>Abierta</x:v>
      </x:c>
      <x:c r="K175" s="11" t="str">
        <x:v>Reinicio controlado</x:v>
      </x:c>
    </x:row>
    <x:row r="176">
      <x:c r="A176" s="11" t="n">
        <x:v>175</x:v>
      </x:c>
      <x:c r="B176" s="11" t="str">
        <x:v>2026-07-21</x:v>
      </x:c>
      <x:c r="C176" s="11" t="str">
        <x:v>L2</x:v>
      </x:c>
      <x:c r="D176" s="11" t="str">
        <x:v>Envasado B</x:v>
      </x:c>
      <x:c r="E176" s="11" t="str">
        <x:v>Matutino</x:v>
      </x:c>
      <x:c r="F176" s="11" t="str">
        <x:v>MAT</x:v>
      </x:c>
      <x:c r="G176" s="11" t="str">
        <x:v>Falta de material</x:v>
      </x:c>
      <x:c r="H176" s="11" t="str">
        <x:v>Logística</x:v>
      </x:c>
      <x:c r="I176" s="11" t="n">
        <x:v>6</x:v>
      </x:c>
      <x:c r="J176" s="11" t="str">
        <x:v>Cerrada</x:v>
      </x:c>
      <x:c r="K176" s="11" t="str">
        <x:v>Inspección y liberación</x:v>
      </x:c>
    </x:row>
    <x:row r="177">
      <x:c r="A177" s="11" t="n">
        <x:v>176</x:v>
      </x:c>
      <x:c r="B177" s="11" t="str">
        <x:v>2026-07-21</x:v>
      </x:c>
      <x:c r="C177" s="11" t="str">
        <x:v>L3</x:v>
      </x:c>
      <x:c r="D177" s="11" t="str">
        <x:v>Empaque</x:v>
      </x:c>
      <x:c r="E177" s="11" t="str">
        <x:v>Matutino</x:v>
      </x:c>
      <x:c r="F177" s="11" t="str">
        <x:v>CAL</x:v>
      </x:c>
      <x:c r="G177" s="11" t="str">
        <x:v>Ajuste de calidad</x:v>
      </x:c>
      <x:c r="H177" s="11" t="str">
        <x:v>Calidad</x:v>
      </x:c>
      <x:c r="I177" s="11" t="n">
        <x:v>32</x:v>
      </x:c>
      <x:c r="J177" s="11" t="str">
        <x:v>Cerrada</x:v>
      </x:c>
      <x:c r="K177" s="11" t="str">
        <x:v>Ajuste y prueba</x:v>
      </x:c>
    </x:row>
    <x:row r="178">
      <x:c r="A178" s="11" t="n">
        <x:v>177</x:v>
      </x:c>
      <x:c r="B178" s="11" t="str">
        <x:v>2026-07-21</x:v>
      </x:c>
      <x:c r="C178" s="11" t="str">
        <x:v>L3</x:v>
      </x:c>
      <x:c r="D178" s="11" t="str">
        <x:v>Empaque</x:v>
      </x:c>
      <x:c r="E178" s="11" t="str">
        <x:v>Vespertino</x:v>
      </x:c>
      <x:c r="F178" s="11" t="str">
        <x:v>MEC</x:v>
      </x:c>
      <x:c r="G178" s="11" t="str">
        <x:v>Falla mecánica</x:v>
      </x:c>
      <x:c r="H178" s="11" t="str">
        <x:v>Mantenimiento</x:v>
      </x:c>
      <x:c r="I178" s="11" t="n">
        <x:v>28</x:v>
      </x:c>
      <x:c r="J178" s="11" t="str">
        <x:v>Cerrada</x:v>
      </x:c>
      <x:c r="K178" s="11" t="str">
        <x:v>Abastecimiento</x:v>
      </x:c>
    </x:row>
    <x:row r="179">
      <x:c r="A179" s="11" t="n">
        <x:v>178</x:v>
      </x:c>
      <x:c r="B179" s="11" t="str">
        <x:v>2026-07-21</x:v>
      </x:c>
      <x:c r="C179" s="11" t="str">
        <x:v>L4</x:v>
      </x:c>
      <x:c r="D179" s="11" t="str">
        <x:v>Etiquetado</x:v>
      </x:c>
      <x:c r="E179" s="11" t="str">
        <x:v>Matutino</x:v>
      </x:c>
      <x:c r="F179" s="11" t="str">
        <x:v>ELE</x:v>
      </x:c>
      <x:c r="G179" s="11" t="str">
        <x:v>Falla eléctrica</x:v>
      </x:c>
      <x:c r="H179" s="11" t="str">
        <x:v>Mantenimiento</x:v>
      </x:c>
      <x:c r="I179" s="11" t="n">
        <x:v>20</x:v>
      </x:c>
      <x:c r="J179" s="11" t="str">
        <x:v>Cerrada</x:v>
      </x:c>
      <x:c r="K179" s="11" t="str">
        <x:v>Ajuste y prueba</x:v>
      </x:c>
    </x:row>
    <x:row r="180">
      <x:c r="A180" s="11" t="n">
        <x:v>179</x:v>
      </x:c>
      <x:c r="B180" s="11" t="str">
        <x:v>2026-07-22</x:v>
      </x:c>
      <x:c r="C180" s="11" t="str">
        <x:v>L1</x:v>
      </x:c>
      <x:c r="D180" s="11" t="str">
        <x:v>Envasado A</x:v>
      </x:c>
      <x:c r="E180" s="11" t="str">
        <x:v>Vespertino</x:v>
      </x:c>
      <x:c r="F180" s="11" t="str">
        <x:v>MAT</x:v>
      </x:c>
      <x:c r="G180" s="11" t="str">
        <x:v>Falta de material</x:v>
      </x:c>
      <x:c r="H180" s="11" t="str">
        <x:v>Logística</x:v>
      </x:c>
      <x:c r="I180" s="11" t="n">
        <x:v>5</x:v>
      </x:c>
      <x:c r="J180" s="11" t="str">
        <x:v>Cerrada</x:v>
      </x:c>
      <x:c r="K180" s="11" t="str">
        <x:v>Cambio de componente</x:v>
      </x:c>
    </x:row>
    <x:row r="181">
      <x:c r="A181" s="11" t="n">
        <x:v>180</x:v>
      </x:c>
      <x:c r="B181" s="11" t="str">
        <x:v>2026-07-22</x:v>
      </x:c>
      <x:c r="C181" s="11" t="str">
        <x:v>L2</x:v>
      </x:c>
      <x:c r="D181" s="11" t="str">
        <x:v>Envasado B</x:v>
      </x:c>
      <x:c r="E181" s="11" t="str">
        <x:v>Matutino</x:v>
      </x:c>
      <x:c r="F181" s="11" t="str">
        <x:v>CAM</x:v>
      </x:c>
      <x:c r="G181" s="11" t="str">
        <x:v>Cambio de formato</x:v>
      </x:c>
      <x:c r="H181" s="11" t="str">
        <x:v>Producción</x:v>
      </x:c>
      <x:c r="I181" s="11" t="n">
        <x:v>48</x:v>
      </x:c>
      <x:c r="J181" s="11" t="str">
        <x:v>Cerrada</x:v>
      </x:c>
      <x:c r="K181" s="11" t="str">
        <x:v>Abastecimiento</x:v>
      </x:c>
    </x:row>
    <x:row r="182">
      <x:c r="A182" s="11" t="n">
        <x:v>181</x:v>
      </x:c>
      <x:c r="B182" s="11" t="str">
        <x:v>2026-07-22</x:v>
      </x:c>
      <x:c r="C182" s="11" t="str">
        <x:v>L2</x:v>
      </x:c>
      <x:c r="D182" s="11" t="str">
        <x:v>Envasado B</x:v>
      </x:c>
      <x:c r="E182" s="11" t="str">
        <x:v>Vespertino</x:v>
      </x:c>
      <x:c r="F182" s="11" t="str">
        <x:v>ELE</x:v>
      </x:c>
      <x:c r="G182" s="11" t="str">
        <x:v>Falla eléctrica</x:v>
      </x:c>
      <x:c r="H182" s="11" t="str">
        <x:v>Mantenimiento</x:v>
      </x:c>
      <x:c r="I182" s="11" t="n">
        <x:v>31</x:v>
      </x:c>
      <x:c r="J182" s="11" t="str">
        <x:v>Cerrada</x:v>
      </x:c>
      <x:c r="K182" s="11" t="str">
        <x:v>Ajuste y prueba</x:v>
      </x:c>
    </x:row>
    <x:row r="183">
      <x:c r="A183" s="11" t="n">
        <x:v>182</x:v>
      </x:c>
      <x:c r="B183" s="11" t="str">
        <x:v>2026-07-22</x:v>
      </x:c>
      <x:c r="C183" s="11" t="str">
        <x:v>L3</x:v>
      </x:c>
      <x:c r="D183" s="11" t="str">
        <x:v>Empaque</x:v>
      </x:c>
      <x:c r="E183" s="11" t="str">
        <x:v>Matutino</x:v>
      </x:c>
      <x:c r="F183" s="11" t="str">
        <x:v>CAL</x:v>
      </x:c>
      <x:c r="G183" s="11" t="str">
        <x:v>Ajuste de calidad</x:v>
      </x:c>
      <x:c r="H183" s="11" t="str">
        <x:v>Calidad</x:v>
      </x:c>
      <x:c r="I183" s="11" t="n">
        <x:v>9</x:v>
      </x:c>
      <x:c r="J183" s="11" t="str">
        <x:v>Abierta</x:v>
      </x:c>
      <x:c r="K183" s="11" t="str">
        <x:v>Abastecimiento</x:v>
      </x:c>
    </x:row>
    <x:row r="184">
      <x:c r="A184" s="11" t="n">
        <x:v>183</x:v>
      </x:c>
      <x:c r="B184" s="11" t="str">
        <x:v>2026-07-22</x:v>
      </x:c>
      <x:c r="C184" s="11" t="str">
        <x:v>L3</x:v>
      </x:c>
      <x:c r="D184" s="11" t="str">
        <x:v>Empaque</x:v>
      </x:c>
      <x:c r="E184" s="11" t="str">
        <x:v>Matutino</x:v>
      </x:c>
      <x:c r="F184" s="11" t="str">
        <x:v>CAL</x:v>
      </x:c>
      <x:c r="G184" s="11" t="str">
        <x:v>Ajuste de calidad</x:v>
      </x:c>
      <x:c r="H184" s="11" t="str">
        <x:v>Calidad</x:v>
      </x:c>
      <x:c r="I184" s="11" t="n">
        <x:v>22</x:v>
      </x:c>
      <x:c r="J184" s="11" t="str">
        <x:v>Cerrada</x:v>
      </x:c>
      <x:c r="K184" s="11" t="str">
        <x:v>Abastecimiento</x:v>
      </x:c>
    </x:row>
    <x:row r="185">
      <x:c r="A185" s="11" t="n">
        <x:v>184</x:v>
      </x:c>
      <x:c r="B185" s="11" t="str">
        <x:v>2026-07-22</x:v>
      </x:c>
      <x:c r="C185" s="11" t="str">
        <x:v>L3</x:v>
      </x:c>
      <x:c r="D185" s="11" t="str">
        <x:v>Empaque</x:v>
      </x:c>
      <x:c r="E185" s="11" t="str">
        <x:v>Matutino</x:v>
      </x:c>
      <x:c r="F185" s="11" t="str">
        <x:v>MEC</x:v>
      </x:c>
      <x:c r="G185" s="11" t="str">
        <x:v>Falla mecánica</x:v>
      </x:c>
      <x:c r="H185" s="11" t="str">
        <x:v>Mantenimiento</x:v>
      </x:c>
      <x:c r="I185" s="11" t="n">
        <x:v>19</x:v>
      </x:c>
      <x:c r="J185" s="11" t="str">
        <x:v>Abierta</x:v>
      </x:c>
      <x:c r="K185" s="11" t="str">
        <x:v>Inspección y liberación</x:v>
      </x:c>
    </x:row>
    <x:row r="186">
      <x:c r="A186" s="11" t="n">
        <x:v>185</x:v>
      </x:c>
      <x:c r="B186" s="11" t="str">
        <x:v>2026-07-22</x:v>
      </x:c>
      <x:c r="C186" s="11" t="str">
        <x:v>L3</x:v>
      </x:c>
      <x:c r="D186" s="11" t="str">
        <x:v>Empaque</x:v>
      </x:c>
      <x:c r="E186" s="11" t="str">
        <x:v>Vespertino</x:v>
      </x:c>
      <x:c r="F186" s="11" t="str">
        <x:v>CAM</x:v>
      </x:c>
      <x:c r="G186" s="11" t="str">
        <x:v>Cambio de formato</x:v>
      </x:c>
      <x:c r="H186" s="11" t="str">
        <x:v>Producción</x:v>
      </x:c>
      <x:c r="I186" s="11" t="n">
        <x:v>43</x:v>
      </x:c>
      <x:c r="J186" s="11" t="str">
        <x:v>Cerrada</x:v>
      </x:c>
      <x:c r="K186" s="11" t="str">
        <x:v>Inspección y liberación</x:v>
      </x:c>
    </x:row>
    <x:row r="187">
      <x:c r="A187" s="11" t="n">
        <x:v>186</x:v>
      </x:c>
      <x:c r="B187" s="11" t="str">
        <x:v>2026-07-22</x:v>
      </x:c>
      <x:c r="C187" s="11" t="str">
        <x:v>L4</x:v>
      </x:c>
      <x:c r="D187" s="11" t="str">
        <x:v>Etiquetado</x:v>
      </x:c>
      <x:c r="E187" s="11" t="str">
        <x:v>Matutino</x:v>
      </x:c>
      <x:c r="F187" s="11" t="str">
        <x:v>CAL</x:v>
      </x:c>
      <x:c r="G187" s="11" t="str">
        <x:v>Ajuste de calidad</x:v>
      </x:c>
      <x:c r="H187" s="11" t="str">
        <x:v>Calidad</x:v>
      </x:c>
      <x:c r="I187" s="11" t="n">
        <x:v>30</x:v>
      </x:c>
      <x:c r="J187" s="11" t="str">
        <x:v>Cerrada</x:v>
      </x:c>
      <x:c r="K187" s="11" t="str">
        <x:v>Cambio de componente</x:v>
      </x:c>
    </x:row>
    <x:row r="188">
      <x:c r="A188" s="11" t="n">
        <x:v>187</x:v>
      </x:c>
      <x:c r="B188" s="11" t="str">
        <x:v>2026-07-22</x:v>
      </x:c>
      <x:c r="C188" s="11" t="str">
        <x:v>L4</x:v>
      </x:c>
      <x:c r="D188" s="11" t="str">
        <x:v>Etiquetado</x:v>
      </x:c>
      <x:c r="E188" s="11" t="str">
        <x:v>Matutino</x:v>
      </x:c>
      <x:c r="F188" s="11" t="str">
        <x:v>MEC</x:v>
      </x:c>
      <x:c r="G188" s="11" t="str">
        <x:v>Falla mecánica</x:v>
      </x:c>
      <x:c r="H188" s="11" t="str">
        <x:v>Mantenimiento</x:v>
      </x:c>
      <x:c r="I188" s="11" t="n">
        <x:v>80</x:v>
      </x:c>
      <x:c r="J188" s="11" t="str">
        <x:v>Cerrada</x:v>
      </x:c>
      <x:c r="K188" s="11" t="str">
        <x:v>Inspección y liberación</x:v>
      </x:c>
    </x:row>
    <x:row r="189">
      <x:c r="A189" s="11" t="n">
        <x:v>188</x:v>
      </x:c>
      <x:c r="B189" s="11" t="str">
        <x:v>2026-07-22</x:v>
      </x:c>
      <x:c r="C189" s="11" t="str">
        <x:v>L4</x:v>
      </x:c>
      <x:c r="D189" s="11" t="str">
        <x:v>Etiquetado</x:v>
      </x:c>
      <x:c r="E189" s="11" t="str">
        <x:v>Vespertino</x:v>
      </x:c>
      <x:c r="F189" s="11" t="str">
        <x:v>CAL</x:v>
      </x:c>
      <x:c r="G189" s="11" t="str">
        <x:v>Ajuste de calidad</x:v>
      </x:c>
      <x:c r="H189" s="11" t="str">
        <x:v>Calidad</x:v>
      </x:c>
      <x:c r="I189" s="11" t="n">
        <x:v>12</x:v>
      </x:c>
      <x:c r="J189" s="11" t="str">
        <x:v>Cerrada</x:v>
      </x:c>
      <x:c r="K189" s="11" t="str">
        <x:v>Inspección y liberación</x:v>
      </x:c>
    </x:row>
    <x:row r="190">
      <x:c r="A190" s="11" t="n">
        <x:v>189</x:v>
      </x:c>
      <x:c r="B190" s="11" t="str">
        <x:v>2026-07-23</x:v>
      </x:c>
      <x:c r="C190" s="11" t="str">
        <x:v>L1</x:v>
      </x:c>
      <x:c r="D190" s="11" t="str">
        <x:v>Envasado A</x:v>
      </x:c>
      <x:c r="E190" s="11" t="str">
        <x:v>Matutino</x:v>
      </x:c>
      <x:c r="F190" s="11" t="str">
        <x:v>CAL</x:v>
      </x:c>
      <x:c r="G190" s="11" t="str">
        <x:v>Ajuste de calidad</x:v>
      </x:c>
      <x:c r="H190" s="11" t="str">
        <x:v>Calidad</x:v>
      </x:c>
      <x:c r="I190" s="11" t="n">
        <x:v>21</x:v>
      </x:c>
      <x:c r="J190" s="11" t="str">
        <x:v>Cerrada</x:v>
      </x:c>
      <x:c r="K190" s="11" t="str">
        <x:v>Reinicio controlado</x:v>
      </x:c>
    </x:row>
    <x:row r="191">
      <x:c r="A191" s="11" t="n">
        <x:v>190</x:v>
      </x:c>
      <x:c r="B191" s="11" t="str">
        <x:v>2026-07-23</x:v>
      </x:c>
      <x:c r="C191" s="11" t="str">
        <x:v>L1</x:v>
      </x:c>
      <x:c r="D191" s="11" t="str">
        <x:v>Envasado A</x:v>
      </x:c>
      <x:c r="E191" s="11" t="str">
        <x:v>Matutino</x:v>
      </x:c>
      <x:c r="F191" s="11" t="str">
        <x:v>MAT</x:v>
      </x:c>
      <x:c r="G191" s="11" t="str">
        <x:v>Falta de material</x:v>
      </x:c>
      <x:c r="H191" s="11" t="str">
        <x:v>Logística</x:v>
      </x:c>
      <x:c r="I191" s="11" t="n">
        <x:v>20</x:v>
      </x:c>
      <x:c r="J191" s="11" t="str">
        <x:v>Cerrada</x:v>
      </x:c>
      <x:c r="K191" s="11" t="str">
        <x:v>Abastecimiento</x:v>
      </x:c>
    </x:row>
    <x:row r="192">
      <x:c r="A192" s="11" t="n">
        <x:v>191</x:v>
      </x:c>
      <x:c r="B192" s="11" t="str">
        <x:v>2026-07-23</x:v>
      </x:c>
      <x:c r="C192" s="11" t="str">
        <x:v>L1</x:v>
      </x:c>
      <x:c r="D192" s="11" t="str">
        <x:v>Envasado A</x:v>
      </x:c>
      <x:c r="E192" s="11" t="str">
        <x:v>Matutino</x:v>
      </x:c>
      <x:c r="F192" s="11" t="str">
        <x:v>ELE</x:v>
      </x:c>
      <x:c r="G192" s="11" t="str">
        <x:v>Falla eléctrica</x:v>
      </x:c>
      <x:c r="H192" s="11" t="str">
        <x:v>Mantenimiento</x:v>
      </x:c>
      <x:c r="I192" s="11" t="n">
        <x:v>10</x:v>
      </x:c>
      <x:c r="J192" s="11" t="str">
        <x:v>Cerrada</x:v>
      </x:c>
      <x:c r="K192" s="11" t="str">
        <x:v>Abastecimiento</x:v>
      </x:c>
    </x:row>
    <x:row r="193">
      <x:c r="A193" s="11" t="n">
        <x:v>192</x:v>
      </x:c>
      <x:c r="B193" s="11" t="str">
        <x:v>2026-07-23</x:v>
      </x:c>
      <x:c r="C193" s="11" t="str">
        <x:v>L2</x:v>
      </x:c>
      <x:c r="D193" s="11" t="str">
        <x:v>Envasado B</x:v>
      </x:c>
      <x:c r="E193" s="11" t="str">
        <x:v>Matutino</x:v>
      </x:c>
      <x:c r="F193" s="11" t="str">
        <x:v>CAL</x:v>
      </x:c>
      <x:c r="G193" s="11" t="str">
        <x:v>Ajuste de calidad</x:v>
      </x:c>
      <x:c r="H193" s="11" t="str">
        <x:v>Calidad</x:v>
      </x:c>
      <x:c r="I193" s="11" t="n">
        <x:v>11</x:v>
      </x:c>
      <x:c r="J193" s="11" t="str">
        <x:v>Cerrada</x:v>
      </x:c>
      <x:c r="K193" s="11" t="str">
        <x:v>Inspección y liberación</x:v>
      </x:c>
    </x:row>
    <x:row r="194">
      <x:c r="A194" s="11" t="n">
        <x:v>193</x:v>
      </x:c>
      <x:c r="B194" s="11" t="str">
        <x:v>2026-07-23</x:v>
      </x:c>
      <x:c r="C194" s="11" t="str">
        <x:v>L2</x:v>
      </x:c>
      <x:c r="D194" s="11" t="str">
        <x:v>Envasado B</x:v>
      </x:c>
      <x:c r="E194" s="11" t="str">
        <x:v>Vespertino</x:v>
      </x:c>
      <x:c r="F194" s="11" t="str">
        <x:v>CAL</x:v>
      </x:c>
      <x:c r="G194" s="11" t="str">
        <x:v>Ajuste de calidad</x:v>
      </x:c>
      <x:c r="H194" s="11" t="str">
        <x:v>Calidad</x:v>
      </x:c>
      <x:c r="I194" s="11" t="n">
        <x:v>30</x:v>
      </x:c>
      <x:c r="J194" s="11" t="str">
        <x:v>Cerrada</x:v>
      </x:c>
      <x:c r="K194" s="11" t="str">
        <x:v>Cambio de componente</x:v>
      </x:c>
    </x:row>
    <x:row r="195">
      <x:c r="A195" s="11" t="n">
        <x:v>194</x:v>
      </x:c>
      <x:c r="B195" s="11" t="str">
        <x:v>2026-07-23</x:v>
      </x:c>
      <x:c r="C195" s="11" t="str">
        <x:v>L2</x:v>
      </x:c>
      <x:c r="D195" s="11" t="str">
        <x:v>Envasado B</x:v>
      </x:c>
      <x:c r="E195" s="11" t="str">
        <x:v>Vespertino</x:v>
      </x:c>
      <x:c r="F195" s="11" t="str">
        <x:v>ELE</x:v>
      </x:c>
      <x:c r="G195" s="11" t="str">
        <x:v>Falla eléctrica</x:v>
      </x:c>
      <x:c r="H195" s="11" t="str">
        <x:v>Mantenimiento</x:v>
      </x:c>
      <x:c r="I195" s="11" t="n">
        <x:v>49</x:v>
      </x:c>
      <x:c r="J195" s="11" t="str">
        <x:v>Cerrada</x:v>
      </x:c>
      <x:c r="K195" s="11" t="str">
        <x:v>Reinicio controlado</x:v>
      </x:c>
    </x:row>
    <x:row r="196">
      <x:c r="A196" s="11" t="n">
        <x:v>195</x:v>
      </x:c>
      <x:c r="B196" s="11" t="str">
        <x:v>2026-07-23</x:v>
      </x:c>
      <x:c r="C196" s="11" t="str">
        <x:v>L3</x:v>
      </x:c>
      <x:c r="D196" s="11" t="str">
        <x:v>Empaque</x:v>
      </x:c>
      <x:c r="E196" s="11" t="str">
        <x:v>Matutino</x:v>
      </x:c>
      <x:c r="F196" s="11" t="str">
        <x:v>ELE</x:v>
      </x:c>
      <x:c r="G196" s="11" t="str">
        <x:v>Falla eléctrica</x:v>
      </x:c>
      <x:c r="H196" s="11" t="str">
        <x:v>Mantenimiento</x:v>
      </x:c>
      <x:c r="I196" s="11" t="n">
        <x:v>30</x:v>
      </x:c>
      <x:c r="J196" s="11" t="str">
        <x:v>Cerrada</x:v>
      </x:c>
      <x:c r="K196" s="11" t="str">
        <x:v>Ajuste y prueba</x:v>
      </x:c>
    </x:row>
    <x:row r="197">
      <x:c r="A197" s="11" t="n">
        <x:v>196</x:v>
      </x:c>
      <x:c r="B197" s="11" t="str">
        <x:v>2026-07-23</x:v>
      </x:c>
      <x:c r="C197" s="11" t="str">
        <x:v>L3</x:v>
      </x:c>
      <x:c r="D197" s="11" t="str">
        <x:v>Empaque</x:v>
      </x:c>
      <x:c r="E197" s="11" t="str">
        <x:v>Matutino</x:v>
      </x:c>
      <x:c r="F197" s="11" t="str">
        <x:v>MAT</x:v>
      </x:c>
      <x:c r="G197" s="11" t="str">
        <x:v>Falta de material</x:v>
      </x:c>
      <x:c r="H197" s="11" t="str">
        <x:v>Logística</x:v>
      </x:c>
      <x:c r="I197" s="11" t="n">
        <x:v>19</x:v>
      </x:c>
      <x:c r="J197" s="11" t="str">
        <x:v>Cerrada</x:v>
      </x:c>
      <x:c r="K197" s="11" t="str">
        <x:v>Inspección y liberación</x:v>
      </x:c>
    </x:row>
    <x:row r="198">
      <x:c r="A198" s="11" t="n">
        <x:v>197</x:v>
      </x:c>
      <x:c r="B198" s="11" t="str">
        <x:v>2026-07-23</x:v>
      </x:c>
      <x:c r="C198" s="11" t="str">
        <x:v>L3</x:v>
      </x:c>
      <x:c r="D198" s="11" t="str">
        <x:v>Empaque</x:v>
      </x:c>
      <x:c r="E198" s="11" t="str">
        <x:v>Vespertino</x:v>
      </x:c>
      <x:c r="F198" s="11" t="str">
        <x:v>CAL</x:v>
      </x:c>
      <x:c r="G198" s="11" t="str">
        <x:v>Ajuste de calidad</x:v>
      </x:c>
      <x:c r="H198" s="11" t="str">
        <x:v>Calidad</x:v>
      </x:c>
      <x:c r="I198" s="11" t="n">
        <x:v>22</x:v>
      </x:c>
      <x:c r="J198" s="11" t="str">
        <x:v>Cerrada</x:v>
      </x:c>
      <x:c r="K198" s="11" t="str">
        <x:v>Inspección y liberación</x:v>
      </x:c>
    </x:row>
    <x:row r="199">
      <x:c r="A199" s="11" t="n">
        <x:v>198</x:v>
      </x:c>
      <x:c r="B199" s="11" t="str">
        <x:v>2026-07-23</x:v>
      </x:c>
      <x:c r="C199" s="11" t="str">
        <x:v>L4</x:v>
      </x:c>
      <x:c r="D199" s="11" t="str">
        <x:v>Etiquetado</x:v>
      </x:c>
      <x:c r="E199" s="11" t="str">
        <x:v>Matutino</x:v>
      </x:c>
      <x:c r="F199" s="11" t="str">
        <x:v>MAT</x:v>
      </x:c>
      <x:c r="G199" s="11" t="str">
        <x:v>Falta de material</x:v>
      </x:c>
      <x:c r="H199" s="11" t="str">
        <x:v>Logística</x:v>
      </x:c>
      <x:c r="I199" s="11" t="n">
        <x:v>9</x:v>
      </x:c>
      <x:c r="J199" s="11" t="str">
        <x:v>Cerrada</x:v>
      </x:c>
      <x:c r="K199" s="11" t="str">
        <x:v>Ajuste y prueba</x:v>
      </x:c>
    </x:row>
    <x:row r="200">
      <x:c r="A200" s="11" t="n">
        <x:v>199</x:v>
      </x:c>
      <x:c r="B200" s="11" t="str">
        <x:v>2026-07-23</x:v>
      </x:c>
      <x:c r="C200" s="11" t="str">
        <x:v>L4</x:v>
      </x:c>
      <x:c r="D200" s="11" t="str">
        <x:v>Etiquetado</x:v>
      </x:c>
      <x:c r="E200" s="11" t="str">
        <x:v>Vespertino</x:v>
      </x:c>
      <x:c r="F200" s="11" t="str">
        <x:v>CAL</x:v>
      </x:c>
      <x:c r="G200" s="11" t="str">
        <x:v>Ajuste de calidad</x:v>
      </x:c>
      <x:c r="H200" s="11" t="str">
        <x:v>Calidad</x:v>
      </x:c>
      <x:c r="I200" s="11" t="n">
        <x:v>30</x:v>
      </x:c>
      <x:c r="J200" s="11" t="str">
        <x:v>Abierta</x:v>
      </x:c>
      <x:c r="K200" s="11" t="str">
        <x:v>Ajuste y prueba</x:v>
      </x:c>
    </x:row>
    <x:row r="201">
      <x:c r="A201" s="11" t="n">
        <x:v>200</x:v>
      </x:c>
      <x:c r="B201" s="11" t="str">
        <x:v>2026-07-24</x:v>
      </x:c>
      <x:c r="C201" s="11" t="str">
        <x:v>L1</x:v>
      </x:c>
      <x:c r="D201" s="11" t="str">
        <x:v>Envasado A</x:v>
      </x:c>
      <x:c r="E201" s="11" t="str">
        <x:v>Matutino</x:v>
      </x:c>
      <x:c r="F201" s="11" t="str">
        <x:v>MEC</x:v>
      </x:c>
      <x:c r="G201" s="11" t="str">
        <x:v>Falla mecánica</x:v>
      </x:c>
      <x:c r="H201" s="11" t="str">
        <x:v>Mantenimiento</x:v>
      </x:c>
      <x:c r="I201" s="11" t="n">
        <x:v>12</x:v>
      </x:c>
      <x:c r="J201" s="11" t="str">
        <x:v>Abierta</x:v>
      </x:c>
      <x:c r="K201" s="11" t="str">
        <x:v>Cambio de componente</x:v>
      </x:c>
    </x:row>
    <x:row r="202">
      <x:c r="A202" s="11" t="n">
        <x:v>201</x:v>
      </x:c>
      <x:c r="B202" s="11" t="str">
        <x:v>2026-07-24</x:v>
      </x:c>
      <x:c r="C202" s="11" t="str">
        <x:v>L1</x:v>
      </x:c>
      <x:c r="D202" s="11" t="str">
        <x:v>Envasado A</x:v>
      </x:c>
      <x:c r="E202" s="11" t="str">
        <x:v>Matutino</x:v>
      </x:c>
      <x:c r="F202" s="11" t="str">
        <x:v>ELE</x:v>
      </x:c>
      <x:c r="G202" s="11" t="str">
        <x:v>Falla eléctrica</x:v>
      </x:c>
      <x:c r="H202" s="11" t="str">
        <x:v>Mantenimiento</x:v>
      </x:c>
      <x:c r="I202" s="11" t="n">
        <x:v>16</x:v>
      </x:c>
      <x:c r="J202" s="11" t="str">
        <x:v>Cerrada</x:v>
      </x:c>
      <x:c r="K202" s="11" t="str">
        <x:v>Reinicio controlado</x:v>
      </x:c>
    </x:row>
    <x:row r="203">
      <x:c r="A203" s="11" t="n">
        <x:v>202</x:v>
      </x:c>
      <x:c r="B203" s="11" t="str">
        <x:v>2026-07-24</x:v>
      </x:c>
      <x:c r="C203" s="11" t="str">
        <x:v>L1</x:v>
      </x:c>
      <x:c r="D203" s="11" t="str">
        <x:v>Envasado A</x:v>
      </x:c>
      <x:c r="E203" s="11" t="str">
        <x:v>Matutino</x:v>
      </x:c>
      <x:c r="F203" s="11" t="str">
        <x:v>ELE</x:v>
      </x:c>
      <x:c r="G203" s="11" t="str">
        <x:v>Falla eléctrica</x:v>
      </x:c>
      <x:c r="H203" s="11" t="str">
        <x:v>Mantenimiento</x:v>
      </x:c>
      <x:c r="I203" s="11" t="n">
        <x:v>42</x:v>
      </x:c>
      <x:c r="J203" s="11" t="str">
        <x:v>Abierta</x:v>
      </x:c>
      <x:c r="K203" s="11" t="str">
        <x:v>Reinicio controlado</x:v>
      </x:c>
    </x:row>
    <x:row r="204">
      <x:c r="A204" s="11" t="n">
        <x:v>203</x:v>
      </x:c>
      <x:c r="B204" s="11" t="str">
        <x:v>2026-07-24</x:v>
      </x:c>
      <x:c r="C204" s="11" t="str">
        <x:v>L1</x:v>
      </x:c>
      <x:c r="D204" s="11" t="str">
        <x:v>Envasado A</x:v>
      </x:c>
      <x:c r="E204" s="11" t="str">
        <x:v>Vespertino</x:v>
      </x:c>
      <x:c r="F204" s="11" t="str">
        <x:v>ELE</x:v>
      </x:c>
      <x:c r="G204" s="11" t="str">
        <x:v>Falla eléctrica</x:v>
      </x:c>
      <x:c r="H204" s="11" t="str">
        <x:v>Mantenimiento</x:v>
      </x:c>
      <x:c r="I204" s="11" t="n">
        <x:v>17</x:v>
      </x:c>
      <x:c r="J204" s="11" t="str">
        <x:v>Abierta</x:v>
      </x:c>
      <x:c r="K204" s="11" t="str">
        <x:v>Reinicio controlado</x:v>
      </x:c>
    </x:row>
    <x:row r="205">
      <x:c r="A205" s="11" t="n">
        <x:v>204</x:v>
      </x:c>
      <x:c r="B205" s="11" t="str">
        <x:v>2026-07-24</x:v>
      </x:c>
      <x:c r="C205" s="11" t="str">
        <x:v>L2</x:v>
      </x:c>
      <x:c r="D205" s="11" t="str">
        <x:v>Envasado B</x:v>
      </x:c>
      <x:c r="E205" s="11" t="str">
        <x:v>Matutino</x:v>
      </x:c>
      <x:c r="F205" s="11" t="str">
        <x:v>CAL</x:v>
      </x:c>
      <x:c r="G205" s="11" t="str">
        <x:v>Ajuste de calidad</x:v>
      </x:c>
      <x:c r="H205" s="11" t="str">
        <x:v>Calidad</x:v>
      </x:c>
      <x:c r="I205" s="11" t="n">
        <x:v>11</x:v>
      </x:c>
      <x:c r="J205" s="11" t="str">
        <x:v>Cerrada</x:v>
      </x:c>
      <x:c r="K205" s="11" t="str">
        <x:v>Inspección y liberación</x:v>
      </x:c>
    </x:row>
    <x:row r="206">
      <x:c r="A206" s="11" t="n">
        <x:v>205</x:v>
      </x:c>
      <x:c r="B206" s="11" t="str">
        <x:v>2026-07-24</x:v>
      </x:c>
      <x:c r="C206" s="11" t="str">
        <x:v>L2</x:v>
      </x:c>
      <x:c r="D206" s="11" t="str">
        <x:v>Envasado B</x:v>
      </x:c>
      <x:c r="E206" s="11" t="str">
        <x:v>Matutino</x:v>
      </x:c>
      <x:c r="F206" s="11" t="str">
        <x:v>ELE</x:v>
      </x:c>
      <x:c r="G206" s="11" t="str">
        <x:v>Falla eléctrica</x:v>
      </x:c>
      <x:c r="H206" s="11" t="str">
        <x:v>Mantenimiento</x:v>
      </x:c>
      <x:c r="I206" s="11" t="n">
        <x:v>20</x:v>
      </x:c>
      <x:c r="J206" s="11" t="str">
        <x:v>Cerrada</x:v>
      </x:c>
      <x:c r="K206" s="11" t="str">
        <x:v>Ajuste y prueba</x:v>
      </x:c>
    </x:row>
    <x:row r="207">
      <x:c r="A207" s="11" t="n">
        <x:v>206</x:v>
      </x:c>
      <x:c r="B207" s="11" t="str">
        <x:v>2026-07-24</x:v>
      </x:c>
      <x:c r="C207" s="11" t="str">
        <x:v>L2</x:v>
      </x:c>
      <x:c r="D207" s="11" t="str">
        <x:v>Envasado B</x:v>
      </x:c>
      <x:c r="E207" s="11" t="str">
        <x:v>Matutino</x:v>
      </x:c>
      <x:c r="F207" s="11" t="str">
        <x:v>CAM</x:v>
      </x:c>
      <x:c r="G207" s="11" t="str">
        <x:v>Cambio de formato</x:v>
      </x:c>
      <x:c r="H207" s="11" t="str">
        <x:v>Producción</x:v>
      </x:c>
      <x:c r="I207" s="11" t="n">
        <x:v>45</x:v>
      </x:c>
      <x:c r="J207" s="11" t="str">
        <x:v>Cerrada</x:v>
      </x:c>
      <x:c r="K207" s="11" t="str">
        <x:v>Abastecimiento</x:v>
      </x:c>
    </x:row>
    <x:row r="208">
      <x:c r="A208" s="11" t="n">
        <x:v>207</x:v>
      </x:c>
      <x:c r="B208" s="11" t="str">
        <x:v>2026-07-24</x:v>
      </x:c>
      <x:c r="C208" s="11" t="str">
        <x:v>L2</x:v>
      </x:c>
      <x:c r="D208" s="11" t="str">
        <x:v>Envasado B</x:v>
      </x:c>
      <x:c r="E208" s="11" t="str">
        <x:v>Vespertino</x:v>
      </x:c>
      <x:c r="F208" s="11" t="str">
        <x:v>MAT</x:v>
      </x:c>
      <x:c r="G208" s="11" t="str">
        <x:v>Falta de material</x:v>
      </x:c>
      <x:c r="H208" s="11" t="str">
        <x:v>Logística</x:v>
      </x:c>
      <x:c r="I208" s="11" t="n">
        <x:v>30</x:v>
      </x:c>
      <x:c r="J208" s="11" t="str">
        <x:v>Abierta</x:v>
      </x:c>
      <x:c r="K208" s="11" t="str">
        <x:v>Ajuste y prueba</x:v>
      </x:c>
    </x:row>
    <x:row r="209">
      <x:c r="A209" s="11" t="n">
        <x:v>208</x:v>
      </x:c>
      <x:c r="B209" s="11" t="str">
        <x:v>2026-07-24</x:v>
      </x:c>
      <x:c r="C209" s="11" t="str">
        <x:v>L3</x:v>
      </x:c>
      <x:c r="D209" s="11" t="str">
        <x:v>Empaque</x:v>
      </x:c>
      <x:c r="E209" s="11" t="str">
        <x:v>Matutino</x:v>
      </x:c>
      <x:c r="F209" s="11" t="str">
        <x:v>MAT</x:v>
      </x:c>
      <x:c r="G209" s="11" t="str">
        <x:v>Falta de material</x:v>
      </x:c>
      <x:c r="H209" s="11" t="str">
        <x:v>Logística</x:v>
      </x:c>
      <x:c r="I209" s="11" t="n">
        <x:v>6</x:v>
      </x:c>
      <x:c r="J209" s="11" t="str">
        <x:v>Cerrada</x:v>
      </x:c>
      <x:c r="K209" s="11" t="str">
        <x:v>Inspección y liberación</x:v>
      </x:c>
    </x:row>
    <x:row r="210">
      <x:c r="A210" s="11" t="n">
        <x:v>209</x:v>
      </x:c>
      <x:c r="B210" s="11" t="str">
        <x:v>2026-07-24</x:v>
      </x:c>
      <x:c r="C210" s="11" t="str">
        <x:v>L3</x:v>
      </x:c>
      <x:c r="D210" s="11" t="str">
        <x:v>Empaque</x:v>
      </x:c>
      <x:c r="E210" s="11" t="str">
        <x:v>Vespertino</x:v>
      </x:c>
      <x:c r="F210" s="11" t="str">
        <x:v>CAM</x:v>
      </x:c>
      <x:c r="G210" s="11" t="str">
        <x:v>Cambio de formato</x:v>
      </x:c>
      <x:c r="H210" s="11" t="str">
        <x:v>Producción</x:v>
      </x:c>
      <x:c r="I210" s="11" t="n">
        <x:v>32</x:v>
      </x:c>
      <x:c r="J210" s="11" t="str">
        <x:v>Cerrada</x:v>
      </x:c>
      <x:c r="K210" s="11" t="str">
        <x:v>Reinicio controlado</x:v>
      </x:c>
    </x:row>
    <x:row r="211">
      <x:c r="A211" s="11" t="n">
        <x:v>210</x:v>
      </x:c>
      <x:c r="B211" s="11" t="str">
        <x:v>2026-07-24</x:v>
      </x:c>
      <x:c r="C211" s="11" t="str">
        <x:v>L4</x:v>
      </x:c>
      <x:c r="D211" s="11" t="str">
        <x:v>Etiquetado</x:v>
      </x:c>
      <x:c r="E211" s="11" t="str">
        <x:v>Matutino</x:v>
      </x:c>
      <x:c r="F211" s="11" t="str">
        <x:v>CAL</x:v>
      </x:c>
      <x:c r="G211" s="11" t="str">
        <x:v>Ajuste de calidad</x:v>
      </x:c>
      <x:c r="H211" s="11" t="str">
        <x:v>Calidad</x:v>
      </x:c>
      <x:c r="I211" s="11" t="n">
        <x:v>39</x:v>
      </x:c>
      <x:c r="J211" s="11" t="str">
        <x:v>Cerrada</x:v>
      </x:c>
      <x:c r="K211" s="11" t="str">
        <x:v>Cambio de componente</x:v>
      </x:c>
    </x:row>
    <x:row r="212">
      <x:c r="A212" s="11" t="n">
        <x:v>211</x:v>
      </x:c>
      <x:c r="B212" s="11" t="str">
        <x:v>2026-07-24</x:v>
      </x:c>
      <x:c r="C212" s="11" t="str">
        <x:v>L4</x:v>
      </x:c>
      <x:c r="D212" s="11" t="str">
        <x:v>Etiquetado</x:v>
      </x:c>
      <x:c r="E212" s="11" t="str">
        <x:v>Vespertino</x:v>
      </x:c>
      <x:c r="F212" s="11" t="str">
        <x:v>MAT</x:v>
      </x:c>
      <x:c r="G212" s="11" t="str">
        <x:v>Falta de material</x:v>
      </x:c>
      <x:c r="H212" s="11" t="str">
        <x:v>Logística</x:v>
      </x:c>
      <x:c r="I212" s="11" t="n">
        <x:v>5</x:v>
      </x:c>
      <x:c r="J212" s="11" t="str">
        <x:v>Cerrada</x:v>
      </x:c>
      <x:c r="K212" s="11" t="str">
        <x:v>Cambio de componente</x:v>
      </x:c>
    </x:row>
    <x:row r="213">
      <x:c r="A213" s="11" t="n">
        <x:v>212</x:v>
      </x:c>
      <x:c r="B213" s="11" t="str">
        <x:v>2026-07-25</x:v>
      </x:c>
      <x:c r="C213" s="11" t="str">
        <x:v>L1</x:v>
      </x:c>
      <x:c r="D213" s="11" t="str">
        <x:v>Envasado A</x:v>
      </x:c>
      <x:c r="E213" s="11" t="str">
        <x:v>Vespertino</x:v>
      </x:c>
      <x:c r="F213" s="11" t="str">
        <x:v>MEC</x:v>
      </x:c>
      <x:c r="G213" s="11" t="str">
        <x:v>Falla mecánica</x:v>
      </x:c>
      <x:c r="H213" s="11" t="str">
        <x:v>Mantenimiento</x:v>
      </x:c>
      <x:c r="I213" s="11" t="n">
        <x:v>10</x:v>
      </x:c>
      <x:c r="J213" s="11" t="str">
        <x:v>Cerrada</x:v>
      </x:c>
      <x:c r="K213" s="11" t="str">
        <x:v>Cambio de componente</x:v>
      </x:c>
    </x:row>
    <x:row r="214">
      <x:c r="A214" s="11" t="n">
        <x:v>213</x:v>
      </x:c>
      <x:c r="B214" s="11" t="str">
        <x:v>2026-07-25</x:v>
      </x:c>
      <x:c r="C214" s="11" t="str">
        <x:v>L2</x:v>
      </x:c>
      <x:c r="D214" s="11" t="str">
        <x:v>Envasado B</x:v>
      </x:c>
      <x:c r="E214" s="11" t="str">
        <x:v>Matutino</x:v>
      </x:c>
      <x:c r="F214" s="11" t="str">
        <x:v>CAM</x:v>
      </x:c>
      <x:c r="G214" s="11" t="str">
        <x:v>Cambio de formato</x:v>
      </x:c>
      <x:c r="H214" s="11" t="str">
        <x:v>Producción</x:v>
      </x:c>
      <x:c r="I214" s="11" t="n">
        <x:v>68</x:v>
      </x:c>
      <x:c r="J214" s="11" t="str">
        <x:v>Abierta</x:v>
      </x:c>
      <x:c r="K214" s="11" t="str">
        <x:v>Abastecimiento</x:v>
      </x:c>
    </x:row>
    <x:row r="215">
      <x:c r="A215" s="11" t="n">
        <x:v>214</x:v>
      </x:c>
      <x:c r="B215" s="11" t="str">
        <x:v>2026-07-25</x:v>
      </x:c>
      <x:c r="C215" s="11" t="str">
        <x:v>L2</x:v>
      </x:c>
      <x:c r="D215" s="11" t="str">
        <x:v>Envasado B</x:v>
      </x:c>
      <x:c r="E215" s="11" t="str">
        <x:v>Vespertino</x:v>
      </x:c>
      <x:c r="F215" s="11" t="str">
        <x:v>MAT</x:v>
      </x:c>
      <x:c r="G215" s="11" t="str">
        <x:v>Falta de material</x:v>
      </x:c>
      <x:c r="H215" s="11" t="str">
        <x:v>Logística</x:v>
      </x:c>
      <x:c r="I215" s="11" t="n">
        <x:v>26</x:v>
      </x:c>
      <x:c r="J215" s="11" t="str">
        <x:v>Cerrada</x:v>
      </x:c>
      <x:c r="K215" s="11" t="str">
        <x:v>Cambio de componente</x:v>
      </x:c>
    </x:row>
    <x:row r="216">
      <x:c r="A216" s="11" t="n">
        <x:v>215</x:v>
      </x:c>
      <x:c r="B216" s="11" t="str">
        <x:v>2026-07-25</x:v>
      </x:c>
      <x:c r="C216" s="11" t="str">
        <x:v>L3</x:v>
      </x:c>
      <x:c r="D216" s="11" t="str">
        <x:v>Empaque</x:v>
      </x:c>
      <x:c r="E216" s="11" t="str">
        <x:v>Matutino</x:v>
      </x:c>
      <x:c r="F216" s="11" t="str">
        <x:v>ELE</x:v>
      </x:c>
      <x:c r="G216" s="11" t="str">
        <x:v>Falla eléctrica</x:v>
      </x:c>
      <x:c r="H216" s="11" t="str">
        <x:v>Mantenimiento</x:v>
      </x:c>
      <x:c r="I216" s="11" t="n">
        <x:v>16</x:v>
      </x:c>
      <x:c r="J216" s="11" t="str">
        <x:v>Cerrada</x:v>
      </x:c>
      <x:c r="K216" s="11" t="str">
        <x:v>Ajuste y prueba</x:v>
      </x:c>
    </x:row>
    <x:row r="217">
      <x:c r="A217" s="11" t="n">
        <x:v>216</x:v>
      </x:c>
      <x:c r="B217" s="11" t="str">
        <x:v>2026-07-25</x:v>
      </x:c>
      <x:c r="C217" s="11" t="str">
        <x:v>L3</x:v>
      </x:c>
      <x:c r="D217" s="11" t="str">
        <x:v>Empaque</x:v>
      </x:c>
      <x:c r="E217" s="11" t="str">
        <x:v>Vespertino</x:v>
      </x:c>
      <x:c r="F217" s="11" t="str">
        <x:v>ELE</x:v>
      </x:c>
      <x:c r="G217" s="11" t="str">
        <x:v>Falla eléctrica</x:v>
      </x:c>
      <x:c r="H217" s="11" t="str">
        <x:v>Mantenimiento</x:v>
      </x:c>
      <x:c r="I217" s="11" t="n">
        <x:v>22</x:v>
      </x:c>
      <x:c r="J217" s="11" t="str">
        <x:v>Abierta</x:v>
      </x:c>
      <x:c r="K217" s="11" t="str">
        <x:v>Cambio de componente</x:v>
      </x:c>
    </x:row>
    <x:row r="218">
      <x:c r="A218" s="11" t="n">
        <x:v>217</x:v>
      </x:c>
      <x:c r="B218" s="11" t="str">
        <x:v>2026-07-25</x:v>
      </x:c>
      <x:c r="C218" s="11" t="str">
        <x:v>L3</x:v>
      </x:c>
      <x:c r="D218" s="11" t="str">
        <x:v>Empaque</x:v>
      </x:c>
      <x:c r="E218" s="11" t="str">
        <x:v>Vespertino</x:v>
      </x:c>
      <x:c r="F218" s="11" t="str">
        <x:v>MAT</x:v>
      </x:c>
      <x:c r="G218" s="11" t="str">
        <x:v>Falta de material</x:v>
      </x:c>
      <x:c r="H218" s="11" t="str">
        <x:v>Logística</x:v>
      </x:c>
      <x:c r="I218" s="11" t="n">
        <x:v>27</x:v>
      </x:c>
      <x:c r="J218" s="11" t="str">
        <x:v>Abierta</x:v>
      </x:c>
      <x:c r="K218" s="11" t="str">
        <x:v>Inspección y liberación</x:v>
      </x:c>
    </x:row>
    <x:row r="219">
      <x:c r="A219" s="11" t="n">
        <x:v>218</x:v>
      </x:c>
      <x:c r="B219" s="11" t="str">
        <x:v>2026-07-25</x:v>
      </x:c>
      <x:c r="C219" s="11" t="str">
        <x:v>L4</x:v>
      </x:c>
      <x:c r="D219" s="11" t="str">
        <x:v>Etiquetado</x:v>
      </x:c>
      <x:c r="E219" s="11" t="str">
        <x:v>Matutino</x:v>
      </x:c>
      <x:c r="F219" s="11" t="str">
        <x:v>MAT</x:v>
      </x:c>
      <x:c r="G219" s="11" t="str">
        <x:v>Falta de material</x:v>
      </x:c>
      <x:c r="H219" s="11" t="str">
        <x:v>Logística</x:v>
      </x:c>
      <x:c r="I219" s="11" t="n">
        <x:v>23</x:v>
      </x:c>
      <x:c r="J219" s="11" t="str">
        <x:v>Cerrada</x:v>
      </x:c>
      <x:c r="K219" s="11" t="str">
        <x:v>Inspección y liberación</x:v>
      </x:c>
    </x:row>
    <x:row r="220">
      <x:c r="A220" s="11" t="n">
        <x:v>219</x:v>
      </x:c>
      <x:c r="B220" s="11" t="str">
        <x:v>2026-07-25</x:v>
      </x:c>
      <x:c r="C220" s="11" t="str">
        <x:v>L4</x:v>
      </x:c>
      <x:c r="D220" s="11" t="str">
        <x:v>Etiquetado</x:v>
      </x:c>
      <x:c r="E220" s="11" t="str">
        <x:v>Vespertino</x:v>
      </x:c>
      <x:c r="F220" s="11" t="str">
        <x:v>CAL</x:v>
      </x:c>
      <x:c r="G220" s="11" t="str">
        <x:v>Ajuste de calidad</x:v>
      </x:c>
      <x:c r="H220" s="11" t="str">
        <x:v>Calidad</x:v>
      </x:c>
      <x:c r="I220" s="11" t="n">
        <x:v>19</x:v>
      </x:c>
      <x:c r="J220" s="11" t="str">
        <x:v>Cerrada</x:v>
      </x:c>
      <x:c r="K220" s="11" t="str">
        <x:v>Ajuste y prueba</x:v>
      </x:c>
    </x:row>
    <x:row r="221">
      <x:c r="A221" s="11" t="n">
        <x:v>220</x:v>
      </x:c>
      <x:c r="B221" s="11" t="str">
        <x:v>2026-07-26</x:v>
      </x:c>
      <x:c r="C221" s="11" t="str">
        <x:v>L1</x:v>
      </x:c>
      <x:c r="D221" s="11" t="str">
        <x:v>Envasado A</x:v>
      </x:c>
      <x:c r="E221" s="11" t="str">
        <x:v>Matutino</x:v>
      </x:c>
      <x:c r="F221" s="11" t="str">
        <x:v>ELE</x:v>
      </x:c>
      <x:c r="G221" s="11" t="str">
        <x:v>Falla eléctrica</x:v>
      </x:c>
      <x:c r="H221" s="11" t="str">
        <x:v>Mantenimiento</x:v>
      </x:c>
      <x:c r="I221" s="11" t="n">
        <x:v>24</x:v>
      </x:c>
      <x:c r="J221" s="11" t="str">
        <x:v>Cerrada</x:v>
      </x:c>
      <x:c r="K221" s="11" t="str">
        <x:v>Inspección y liberación</x:v>
      </x:c>
    </x:row>
    <x:row r="222">
      <x:c r="A222" s="11" t="n">
        <x:v>221</x:v>
      </x:c>
      <x:c r="B222" s="11" t="str">
        <x:v>2026-07-26</x:v>
      </x:c>
      <x:c r="C222" s="11" t="str">
        <x:v>L1</x:v>
      </x:c>
      <x:c r="D222" s="11" t="str">
        <x:v>Envasado A</x:v>
      </x:c>
      <x:c r="E222" s="11" t="str">
        <x:v>Matutino</x:v>
      </x:c>
      <x:c r="F222" s="11" t="str">
        <x:v>MEC</x:v>
      </x:c>
      <x:c r="G222" s="11" t="str">
        <x:v>Falla mecánica</x:v>
      </x:c>
      <x:c r="H222" s="11" t="str">
        <x:v>Mantenimiento</x:v>
      </x:c>
      <x:c r="I222" s="11" t="n">
        <x:v>38</x:v>
      </x:c>
      <x:c r="J222" s="11" t="str">
        <x:v>Cerrada</x:v>
      </x:c>
      <x:c r="K222" s="11" t="str">
        <x:v>Abastecimiento</x:v>
      </x:c>
    </x:row>
    <x:row r="223">
      <x:c r="A223" s="11" t="n">
        <x:v>222</x:v>
      </x:c>
      <x:c r="B223" s="11" t="str">
        <x:v>2026-07-26</x:v>
      </x:c>
      <x:c r="C223" s="11" t="str">
        <x:v>L1</x:v>
      </x:c>
      <x:c r="D223" s="11" t="str">
        <x:v>Envasado A</x:v>
      </x:c>
      <x:c r="E223" s="11" t="str">
        <x:v>Vespertino</x:v>
      </x:c>
      <x:c r="F223" s="11" t="str">
        <x:v>MAT</x:v>
      </x:c>
      <x:c r="G223" s="11" t="str">
        <x:v>Falta de material</x:v>
      </x:c>
      <x:c r="H223" s="11" t="str">
        <x:v>Logística</x:v>
      </x:c>
      <x:c r="I223" s="11" t="n">
        <x:v>10</x:v>
      </x:c>
      <x:c r="J223" s="11" t="str">
        <x:v>Cerrada</x:v>
      </x:c>
      <x:c r="K223" s="11" t="str">
        <x:v>Cambio de componente</x:v>
      </x:c>
    </x:row>
    <x:row r="224">
      <x:c r="A224" s="11" t="n">
        <x:v>223</x:v>
      </x:c>
      <x:c r="B224" s="11" t="str">
        <x:v>2026-07-26</x:v>
      </x:c>
      <x:c r="C224" s="11" t="str">
        <x:v>L1</x:v>
      </x:c>
      <x:c r="D224" s="11" t="str">
        <x:v>Envasado A</x:v>
      </x:c>
      <x:c r="E224" s="11" t="str">
        <x:v>Vespertino</x:v>
      </x:c>
      <x:c r="F224" s="11" t="str">
        <x:v>MAT</x:v>
      </x:c>
      <x:c r="G224" s="11" t="str">
        <x:v>Falta de material</x:v>
      </x:c>
      <x:c r="H224" s="11" t="str">
        <x:v>Logística</x:v>
      </x:c>
      <x:c r="I224" s="11" t="n">
        <x:v>29</x:v>
      </x:c>
      <x:c r="J224" s="11" t="str">
        <x:v>Cerrada</x:v>
      </x:c>
      <x:c r="K224" s="11" t="str">
        <x:v>Reinicio controlado</x:v>
      </x:c>
    </x:row>
    <x:row r="225">
      <x:c r="A225" s="11" t="n">
        <x:v>224</x:v>
      </x:c>
      <x:c r="B225" s="11" t="str">
        <x:v>2026-07-26</x:v>
      </x:c>
      <x:c r="C225" s="11" t="str">
        <x:v>L1</x:v>
      </x:c>
      <x:c r="D225" s="11" t="str">
        <x:v>Envasado A</x:v>
      </x:c>
      <x:c r="E225" s="11" t="str">
        <x:v>Vespertino</x:v>
      </x:c>
      <x:c r="F225" s="11" t="str">
        <x:v>MAT</x:v>
      </x:c>
      <x:c r="G225" s="11" t="str">
        <x:v>Falta de material</x:v>
      </x:c>
      <x:c r="H225" s="11" t="str">
        <x:v>Logística</x:v>
      </x:c>
      <x:c r="I225" s="11" t="n">
        <x:v>19</x:v>
      </x:c>
      <x:c r="J225" s="11" t="str">
        <x:v>Cerrada</x:v>
      </x:c>
      <x:c r="K225" s="11" t="str">
        <x:v>Inspección y liberación</x:v>
      </x:c>
    </x:row>
    <x:row r="226">
      <x:c r="A226" s="11" t="n">
        <x:v>225</x:v>
      </x:c>
      <x:c r="B226" s="11" t="str">
        <x:v>2026-07-26</x:v>
      </x:c>
      <x:c r="C226" s="11" t="str">
        <x:v>L2</x:v>
      </x:c>
      <x:c r="D226" s="11" t="str">
        <x:v>Envasado B</x:v>
      </x:c>
      <x:c r="E226" s="11" t="str">
        <x:v>Matutino</x:v>
      </x:c>
      <x:c r="F226" s="11" t="str">
        <x:v>CAL</x:v>
      </x:c>
      <x:c r="G226" s="11" t="str">
        <x:v>Ajuste de calidad</x:v>
      </x:c>
      <x:c r="H226" s="11" t="str">
        <x:v>Calidad</x:v>
      </x:c>
      <x:c r="I226" s="11" t="n">
        <x:v>14</x:v>
      </x:c>
      <x:c r="J226" s="11" t="str">
        <x:v>Cerrada</x:v>
      </x:c>
      <x:c r="K226" s="11" t="str">
        <x:v>Inspección y liberación</x:v>
      </x:c>
    </x:row>
    <x:row r="227">
      <x:c r="A227" s="11" t="n">
        <x:v>226</x:v>
      </x:c>
      <x:c r="B227" s="11" t="str">
        <x:v>2026-07-27</x:v>
      </x:c>
      <x:c r="C227" s="11" t="str">
        <x:v>L1</x:v>
      </x:c>
      <x:c r="D227" s="11" t="str">
        <x:v>Envasado A</x:v>
      </x:c>
      <x:c r="E227" s="11" t="str">
        <x:v>Matutino</x:v>
      </x:c>
      <x:c r="F227" s="11" t="str">
        <x:v>MEC</x:v>
      </x:c>
      <x:c r="G227" s="11" t="str">
        <x:v>Falla mecánica</x:v>
      </x:c>
      <x:c r="H227" s="11" t="str">
        <x:v>Mantenimiento</x:v>
      </x:c>
      <x:c r="I227" s="11" t="n">
        <x:v>64</x:v>
      </x:c>
      <x:c r="J227" s="11" t="str">
        <x:v>Cerrada</x:v>
      </x:c>
      <x:c r="K227" s="11" t="str">
        <x:v>Abastecimiento</x:v>
      </x:c>
    </x:row>
    <x:row r="228">
      <x:c r="A228" s="11" t="n">
        <x:v>227</x:v>
      </x:c>
      <x:c r="B228" s="11" t="str">
        <x:v>2026-07-27</x:v>
      </x:c>
      <x:c r="C228" s="11" t="str">
        <x:v>L1</x:v>
      </x:c>
      <x:c r="D228" s="11" t="str">
        <x:v>Envasado A</x:v>
      </x:c>
      <x:c r="E228" s="11" t="str">
        <x:v>Vespertino</x:v>
      </x:c>
      <x:c r="F228" s="11" t="str">
        <x:v>ELE</x:v>
      </x:c>
      <x:c r="G228" s="11" t="str">
        <x:v>Falla eléctrica</x:v>
      </x:c>
      <x:c r="H228" s="11" t="str">
        <x:v>Mantenimiento</x:v>
      </x:c>
      <x:c r="I228" s="11" t="n">
        <x:v>32</x:v>
      </x:c>
      <x:c r="J228" s="11" t="str">
        <x:v>Cerrada</x:v>
      </x:c>
      <x:c r="K228" s="11" t="str">
        <x:v>Ajuste y prueba</x:v>
      </x:c>
    </x:row>
    <x:row r="229">
      <x:c r="A229" s="11" t="n">
        <x:v>228</x:v>
      </x:c>
      <x:c r="B229" s="11" t="str">
        <x:v>2026-07-27</x:v>
      </x:c>
      <x:c r="C229" s="11" t="str">
        <x:v>L2</x:v>
      </x:c>
      <x:c r="D229" s="11" t="str">
        <x:v>Envasado B</x:v>
      </x:c>
      <x:c r="E229" s="11" t="str">
        <x:v>Matutino</x:v>
      </x:c>
      <x:c r="F229" s="11" t="str">
        <x:v>MAT</x:v>
      </x:c>
      <x:c r="G229" s="11" t="str">
        <x:v>Falta de material</x:v>
      </x:c>
      <x:c r="H229" s="11" t="str">
        <x:v>Logística</x:v>
      </x:c>
      <x:c r="I229" s="11" t="n">
        <x:v>24</x:v>
      </x:c>
      <x:c r="J229" s="11" t="str">
        <x:v>Cerrada</x:v>
      </x:c>
      <x:c r="K229" s="11" t="str">
        <x:v>Ajuste y prueba</x:v>
      </x:c>
    </x:row>
    <x:row r="230">
      <x:c r="A230" s="11" t="n">
        <x:v>229</x:v>
      </x:c>
      <x:c r="B230" s="11" t="str">
        <x:v>2026-07-27</x:v>
      </x:c>
      <x:c r="C230" s="11" t="str">
        <x:v>L2</x:v>
      </x:c>
      <x:c r="D230" s="11" t="str">
        <x:v>Envasado B</x:v>
      </x:c>
      <x:c r="E230" s="11" t="str">
        <x:v>Vespertino</x:v>
      </x:c>
      <x:c r="F230" s="11" t="str">
        <x:v>CAL</x:v>
      </x:c>
      <x:c r="G230" s="11" t="str">
        <x:v>Ajuste de calidad</x:v>
      </x:c>
      <x:c r="H230" s="11" t="str">
        <x:v>Calidad</x:v>
      </x:c>
      <x:c r="I230" s="11" t="n">
        <x:v>16</x:v>
      </x:c>
      <x:c r="J230" s="11" t="str">
        <x:v>Cerrada</x:v>
      </x:c>
      <x:c r="K230" s="11" t="str">
        <x:v>Ajuste y prueba</x:v>
      </x:c>
    </x:row>
    <x:row r="231">
      <x:c r="A231" s="11" t="n">
        <x:v>230</x:v>
      </x:c>
      <x:c r="B231" s="11" t="str">
        <x:v>2026-07-27</x:v>
      </x:c>
      <x:c r="C231" s="11" t="str">
        <x:v>L2</x:v>
      </x:c>
      <x:c r="D231" s="11" t="str">
        <x:v>Envasado B</x:v>
      </x:c>
      <x:c r="E231" s="11" t="str">
        <x:v>Vespertino</x:v>
      </x:c>
      <x:c r="F231" s="11" t="str">
        <x:v>MAT</x:v>
      </x:c>
      <x:c r="G231" s="11" t="str">
        <x:v>Falta de material</x:v>
      </x:c>
      <x:c r="H231" s="11" t="str">
        <x:v>Logística</x:v>
      </x:c>
      <x:c r="I231" s="11" t="n">
        <x:v>24</x:v>
      </x:c>
      <x:c r="J231" s="11" t="str">
        <x:v>Cerrada</x:v>
      </x:c>
      <x:c r="K231" s="11" t="str">
        <x:v>Abastecimiento</x:v>
      </x:c>
    </x:row>
    <x:row r="232">
      <x:c r="A232" s="11" t="n">
        <x:v>231</x:v>
      </x:c>
      <x:c r="B232" s="11" t="str">
        <x:v>2026-07-27</x:v>
      </x:c>
      <x:c r="C232" s="11" t="str">
        <x:v>L2</x:v>
      </x:c>
      <x:c r="D232" s="11" t="str">
        <x:v>Envasado B</x:v>
      </x:c>
      <x:c r="E232" s="11" t="str">
        <x:v>Vespertino</x:v>
      </x:c>
      <x:c r="F232" s="11" t="str">
        <x:v>MEC</x:v>
      </x:c>
      <x:c r="G232" s="11" t="str">
        <x:v>Falla mecánica</x:v>
      </x:c>
      <x:c r="H232" s="11" t="str">
        <x:v>Mantenimiento</x:v>
      </x:c>
      <x:c r="I232" s="11" t="n">
        <x:v>6</x:v>
      </x:c>
      <x:c r="J232" s="11" t="str">
        <x:v>Cerrada</x:v>
      </x:c>
      <x:c r="K232" s="11" t="str">
        <x:v>Cambio de componente</x:v>
      </x:c>
    </x:row>
    <x:row r="233">
      <x:c r="A233" s="11" t="n">
        <x:v>232</x:v>
      </x:c>
      <x:c r="B233" s="11" t="str">
        <x:v>2026-07-27</x:v>
      </x:c>
      <x:c r="C233" s="11" t="str">
        <x:v>L3</x:v>
      </x:c>
      <x:c r="D233" s="11" t="str">
        <x:v>Empaque</x:v>
      </x:c>
      <x:c r="E233" s="11" t="str">
        <x:v>Matutino</x:v>
      </x:c>
      <x:c r="F233" s="11" t="str">
        <x:v>MAT</x:v>
      </x:c>
      <x:c r="G233" s="11" t="str">
        <x:v>Falta de material</x:v>
      </x:c>
      <x:c r="H233" s="11" t="str">
        <x:v>Logística</x:v>
      </x:c>
      <x:c r="I233" s="11" t="n">
        <x:v>41</x:v>
      </x:c>
      <x:c r="J233" s="11" t="str">
        <x:v>Abierta</x:v>
      </x:c>
      <x:c r="K233" s="11" t="str">
        <x:v>Ajuste y prueba</x:v>
      </x:c>
    </x:row>
    <x:row r="234">
      <x:c r="A234" s="11" t="n">
        <x:v>233</x:v>
      </x:c>
      <x:c r="B234" s="11" t="str">
        <x:v>2026-07-27</x:v>
      </x:c>
      <x:c r="C234" s="11" t="str">
        <x:v>L3</x:v>
      </x:c>
      <x:c r="D234" s="11" t="str">
        <x:v>Empaque</x:v>
      </x:c>
      <x:c r="E234" s="11" t="str">
        <x:v>Vespertino</x:v>
      </x:c>
      <x:c r="F234" s="11" t="str">
        <x:v>CAL</x:v>
      </x:c>
      <x:c r="G234" s="11" t="str">
        <x:v>Ajuste de calidad</x:v>
      </x:c>
      <x:c r="H234" s="11" t="str">
        <x:v>Calidad</x:v>
      </x:c>
      <x:c r="I234" s="11" t="n">
        <x:v>32</x:v>
      </x:c>
      <x:c r="J234" s="11" t="str">
        <x:v>Abierta</x:v>
      </x:c>
      <x:c r="K234" s="11" t="str">
        <x:v>Ajuste y prueba</x:v>
      </x:c>
    </x:row>
    <x:row r="235">
      <x:c r="A235" s="11" t="n">
        <x:v>234</x:v>
      </x:c>
      <x:c r="B235" s="11" t="str">
        <x:v>2026-07-27</x:v>
      </x:c>
      <x:c r="C235" s="11" t="str">
        <x:v>L3</x:v>
      </x:c>
      <x:c r="D235" s="11" t="str">
        <x:v>Empaque</x:v>
      </x:c>
      <x:c r="E235" s="11" t="str">
        <x:v>Vespertino</x:v>
      </x:c>
      <x:c r="F235" s="11" t="str">
        <x:v>ELE</x:v>
      </x:c>
      <x:c r="G235" s="11" t="str">
        <x:v>Falla eléctrica</x:v>
      </x:c>
      <x:c r="H235" s="11" t="str">
        <x:v>Mantenimiento</x:v>
      </x:c>
      <x:c r="I235" s="11" t="n">
        <x:v>18</x:v>
      </x:c>
      <x:c r="J235" s="11" t="str">
        <x:v>Cerrada</x:v>
      </x:c>
      <x:c r="K235" s="11" t="str">
        <x:v>Abastecimiento</x:v>
      </x:c>
    </x:row>
    <x:row r="236">
      <x:c r="A236" s="11" t="n">
        <x:v>235</x:v>
      </x:c>
      <x:c r="B236" s="11" t="str">
        <x:v>2026-07-27</x:v>
      </x:c>
      <x:c r="C236" s="11" t="str">
        <x:v>L4</x:v>
      </x:c>
      <x:c r="D236" s="11" t="str">
        <x:v>Etiquetado</x:v>
      </x:c>
      <x:c r="E236" s="11" t="str">
        <x:v>Matutino</x:v>
      </x:c>
      <x:c r="F236" s="11" t="str">
        <x:v>MEC</x:v>
      </x:c>
      <x:c r="G236" s="11" t="str">
        <x:v>Falla mecánica</x:v>
      </x:c>
      <x:c r="H236" s="11" t="str">
        <x:v>Mantenimiento</x:v>
      </x:c>
      <x:c r="I236" s="11" t="n">
        <x:v>27</x:v>
      </x:c>
      <x:c r="J236" s="11" t="str">
        <x:v>Cerrada</x:v>
      </x:c>
      <x:c r="K236" s="11" t="str">
        <x:v>Inspección y liberación</x:v>
      </x:c>
    </x:row>
    <x:row r="237">
      <x:c r="A237" s="11" t="n">
        <x:v>236</x:v>
      </x:c>
      <x:c r="B237" s="11" t="str">
        <x:v>2026-07-28</x:v>
      </x:c>
      <x:c r="C237" s="11" t="str">
        <x:v>L1</x:v>
      </x:c>
      <x:c r="D237" s="11" t="str">
        <x:v>Envasado A</x:v>
      </x:c>
      <x:c r="E237" s="11" t="str">
        <x:v>Matutino</x:v>
      </x:c>
      <x:c r="F237" s="11" t="str">
        <x:v>CAM</x:v>
      </x:c>
      <x:c r="G237" s="11" t="str">
        <x:v>Cambio de formato</x:v>
      </x:c>
      <x:c r="H237" s="11" t="str">
        <x:v>Producción</x:v>
      </x:c>
      <x:c r="I237" s="11" t="n">
        <x:v>10</x:v>
      </x:c>
      <x:c r="J237" s="11" t="str">
        <x:v>Abierta</x:v>
      </x:c>
      <x:c r="K237" s="11" t="str">
        <x:v>Cambio de componente</x:v>
      </x:c>
    </x:row>
    <x:row r="238">
      <x:c r="A238" s="11" t="n">
        <x:v>237</x:v>
      </x:c>
      <x:c r="B238" s="11" t="str">
        <x:v>2026-07-28</x:v>
      </x:c>
      <x:c r="C238" s="11" t="str">
        <x:v>L1</x:v>
      </x:c>
      <x:c r="D238" s="11" t="str">
        <x:v>Envasado A</x:v>
      </x:c>
      <x:c r="E238" s="11" t="str">
        <x:v>Vespertino</x:v>
      </x:c>
      <x:c r="F238" s="11" t="str">
        <x:v>MEC</x:v>
      </x:c>
      <x:c r="G238" s="11" t="str">
        <x:v>Falla mecánica</x:v>
      </x:c>
      <x:c r="H238" s="11" t="str">
        <x:v>Mantenimiento</x:v>
      </x:c>
      <x:c r="I238" s="11" t="n">
        <x:v>5</x:v>
      </x:c>
      <x:c r="J238" s="11" t="str">
        <x:v>Cerrada</x:v>
      </x:c>
      <x:c r="K238" s="11" t="str">
        <x:v>Reinicio controlado</x:v>
      </x:c>
    </x:row>
    <x:row r="239">
      <x:c r="A239" s="11" t="n">
        <x:v>238</x:v>
      </x:c>
      <x:c r="B239" s="11" t="str">
        <x:v>2026-07-28</x:v>
      </x:c>
      <x:c r="C239" s="11" t="str">
        <x:v>L2</x:v>
      </x:c>
      <x:c r="D239" s="11" t="str">
        <x:v>Envasado B</x:v>
      </x:c>
      <x:c r="E239" s="11" t="str">
        <x:v>Matutino</x:v>
      </x:c>
      <x:c r="F239" s="11" t="str">
        <x:v>MEC</x:v>
      </x:c>
      <x:c r="G239" s="11" t="str">
        <x:v>Falla mecánica</x:v>
      </x:c>
      <x:c r="H239" s="11" t="str">
        <x:v>Mantenimiento</x:v>
      </x:c>
      <x:c r="I239" s="11" t="n">
        <x:v>12</x:v>
      </x:c>
      <x:c r="J239" s="11" t="str">
        <x:v>Abierta</x:v>
      </x:c>
      <x:c r="K239" s="11" t="str">
        <x:v>Ajuste y prueba</x:v>
      </x:c>
    </x:row>
    <x:row r="240">
      <x:c r="A240" s="11" t="n">
        <x:v>239</x:v>
      </x:c>
      <x:c r="B240" s="11" t="str">
        <x:v>2026-07-28</x:v>
      </x:c>
      <x:c r="C240" s="11" t="str">
        <x:v>L2</x:v>
      </x:c>
      <x:c r="D240" s="11" t="str">
        <x:v>Envasado B</x:v>
      </x:c>
      <x:c r="E240" s="11" t="str">
        <x:v>Vespertino</x:v>
      </x:c>
      <x:c r="F240" s="11" t="str">
        <x:v>ELE</x:v>
      </x:c>
      <x:c r="G240" s="11" t="str">
        <x:v>Falla eléctrica</x:v>
      </x:c>
      <x:c r="H240" s="11" t="str">
        <x:v>Mantenimiento</x:v>
      </x:c>
      <x:c r="I240" s="11" t="n">
        <x:v>60</x:v>
      </x:c>
      <x:c r="J240" s="11" t="str">
        <x:v>Cerrada</x:v>
      </x:c>
      <x:c r="K240" s="11" t="str">
        <x:v>Inspección y liberación</x:v>
      </x:c>
    </x:row>
    <x:row r="241">
      <x:c r="A241" s="11" t="n">
        <x:v>240</x:v>
      </x:c>
      <x:c r="B241" s="11" t="str">
        <x:v>2026-07-28</x:v>
      </x:c>
      <x:c r="C241" s="11" t="str">
        <x:v>L3</x:v>
      </x:c>
      <x:c r="D241" s="11" t="str">
        <x:v>Empaque</x:v>
      </x:c>
      <x:c r="E241" s="11" t="str">
        <x:v>Matutino</x:v>
      </x:c>
      <x:c r="F241" s="11" t="str">
        <x:v>CAL</x:v>
      </x:c>
      <x:c r="G241" s="11" t="str">
        <x:v>Ajuste de calidad</x:v>
      </x:c>
      <x:c r="H241" s="11" t="str">
        <x:v>Calidad</x:v>
      </x:c>
      <x:c r="I241" s="11" t="n">
        <x:v>58</x:v>
      </x:c>
      <x:c r="J241" s="11" t="str">
        <x:v>Cerrada</x:v>
      </x:c>
      <x:c r="K241" s="11" t="str">
        <x:v>Reinicio controlado</x:v>
      </x:c>
    </x:row>
    <x:row r="242">
      <x:c r="A242" s="11" t="n">
        <x:v>241</x:v>
      </x:c>
      <x:c r="B242" s="11" t="str">
        <x:v>2026-07-28</x:v>
      </x:c>
      <x:c r="C242" s="11" t="str">
        <x:v>L4</x:v>
      </x:c>
      <x:c r="D242" s="11" t="str">
        <x:v>Etiquetado</x:v>
      </x:c>
      <x:c r="E242" s="11" t="str">
        <x:v>Matutino</x:v>
      </x:c>
      <x:c r="F242" s="11" t="str">
        <x:v>CAM</x:v>
      </x:c>
      <x:c r="G242" s="11" t="str">
        <x:v>Cambio de formato</x:v>
      </x:c>
      <x:c r="H242" s="11" t="str">
        <x:v>Producción</x:v>
      </x:c>
      <x:c r="I242" s="11" t="n">
        <x:v>27</x:v>
      </x:c>
      <x:c r="J242" s="11" t="str">
        <x:v>Cerrada</x:v>
      </x:c>
      <x:c r="K242" s="11" t="str">
        <x:v>Abastecimiento</x:v>
      </x:c>
    </x:row>
    <x:row r="243">
      <x:c r="A243" s="11" t="n">
        <x:v>242</x:v>
      </x:c>
      <x:c r="B243" s="11" t="str">
        <x:v>2026-07-29</x:v>
      </x:c>
      <x:c r="C243" s="11" t="str">
        <x:v>L1</x:v>
      </x:c>
      <x:c r="D243" s="11" t="str">
        <x:v>Envasado A</x:v>
      </x:c>
      <x:c r="E243" s="11" t="str">
        <x:v>Matutino</x:v>
      </x:c>
      <x:c r="F243" s="11" t="str">
        <x:v>CAM</x:v>
      </x:c>
      <x:c r="G243" s="11" t="str">
        <x:v>Cambio de formato</x:v>
      </x:c>
      <x:c r="H243" s="11" t="str">
        <x:v>Producción</x:v>
      </x:c>
      <x:c r="I243" s="11" t="n">
        <x:v>29</x:v>
      </x:c>
      <x:c r="J243" s="11" t="str">
        <x:v>Cerrada</x:v>
      </x:c>
      <x:c r="K243" s="11" t="str">
        <x:v>Reinicio controlado</x:v>
      </x:c>
    </x:row>
    <x:row r="244">
      <x:c r="A244" s="11" t="n">
        <x:v>243</x:v>
      </x:c>
      <x:c r="B244" s="11" t="str">
        <x:v>2026-07-29</x:v>
      </x:c>
      <x:c r="C244" s="11" t="str">
        <x:v>L1</x:v>
      </x:c>
      <x:c r="D244" s="11" t="str">
        <x:v>Envasado A</x:v>
      </x:c>
      <x:c r="E244" s="11" t="str">
        <x:v>Vespertino</x:v>
      </x:c>
      <x:c r="F244" s="11" t="str">
        <x:v>MEC</x:v>
      </x:c>
      <x:c r="G244" s="11" t="str">
        <x:v>Falla mecánica</x:v>
      </x:c>
      <x:c r="H244" s="11" t="str">
        <x:v>Mantenimiento</x:v>
      </x:c>
      <x:c r="I244" s="11" t="n">
        <x:v>36</x:v>
      </x:c>
      <x:c r="J244" s="11" t="str">
        <x:v>Cerrada</x:v>
      </x:c>
      <x:c r="K244" s="11" t="str">
        <x:v>Ajuste y prueba</x:v>
      </x:c>
    </x:row>
    <x:row r="245">
      <x:c r="A245" s="11" t="n">
        <x:v>244</x:v>
      </x:c>
      <x:c r="B245" s="11" t="str">
        <x:v>2026-07-29</x:v>
      </x:c>
      <x:c r="C245" s="11" t="str">
        <x:v>L2</x:v>
      </x:c>
      <x:c r="D245" s="11" t="str">
        <x:v>Envasado B</x:v>
      </x:c>
      <x:c r="E245" s="11" t="str">
        <x:v>Matutino</x:v>
      </x:c>
      <x:c r="F245" s="11" t="str">
        <x:v>CAL</x:v>
      </x:c>
      <x:c r="G245" s="11" t="str">
        <x:v>Ajuste de calidad</x:v>
      </x:c>
      <x:c r="H245" s="11" t="str">
        <x:v>Calidad</x:v>
      </x:c>
      <x:c r="I245" s="11" t="n">
        <x:v>42</x:v>
      </x:c>
      <x:c r="J245" s="11" t="str">
        <x:v>Abierta</x:v>
      </x:c>
      <x:c r="K245" s="11" t="str">
        <x:v>Inspección y liberación</x:v>
      </x:c>
    </x:row>
    <x:row r="246">
      <x:c r="A246" s="11" t="n">
        <x:v>245</x:v>
      </x:c>
      <x:c r="B246" s="11" t="str">
        <x:v>2026-07-29</x:v>
      </x:c>
      <x:c r="C246" s="11" t="str">
        <x:v>L2</x:v>
      </x:c>
      <x:c r="D246" s="11" t="str">
        <x:v>Envasado B</x:v>
      </x:c>
      <x:c r="E246" s="11" t="str">
        <x:v>Vespertino</x:v>
      </x:c>
      <x:c r="F246" s="11" t="str">
        <x:v>MEC</x:v>
      </x:c>
      <x:c r="G246" s="11" t="str">
        <x:v>Falla mecánica</x:v>
      </x:c>
      <x:c r="H246" s="11" t="str">
        <x:v>Mantenimiento</x:v>
      </x:c>
      <x:c r="I246" s="11" t="n">
        <x:v>27</x:v>
      </x:c>
      <x:c r="J246" s="11" t="str">
        <x:v>Abierta</x:v>
      </x:c>
      <x:c r="K246" s="11" t="str">
        <x:v>Ajuste y prueba</x:v>
      </x:c>
    </x:row>
    <x:row r="247">
      <x:c r="A247" s="11" t="n">
        <x:v>246</x:v>
      </x:c>
      <x:c r="B247" s="11" t="str">
        <x:v>2026-07-29</x:v>
      </x:c>
      <x:c r="C247" s="11" t="str">
        <x:v>L3</x:v>
      </x:c>
      <x:c r="D247" s="11" t="str">
        <x:v>Empaque</x:v>
      </x:c>
      <x:c r="E247" s="11" t="str">
        <x:v>Matutino</x:v>
      </x:c>
      <x:c r="F247" s="11" t="str">
        <x:v>MAT</x:v>
      </x:c>
      <x:c r="G247" s="11" t="str">
        <x:v>Falta de material</x:v>
      </x:c>
      <x:c r="H247" s="11" t="str">
        <x:v>Logística</x:v>
      </x:c>
      <x:c r="I247" s="11" t="n">
        <x:v>36</x:v>
      </x:c>
      <x:c r="J247" s="11" t="str">
        <x:v>Abierta</x:v>
      </x:c>
      <x:c r="K247" s="11" t="str">
        <x:v>Reinicio controlado</x:v>
      </x:c>
    </x:row>
    <x:row r="248">
      <x:c r="A248" s="11" t="n">
        <x:v>247</x:v>
      </x:c>
      <x:c r="B248" s="11" t="str">
        <x:v>2026-07-29</x:v>
      </x:c>
      <x:c r="C248" s="11" t="str">
        <x:v>L3</x:v>
      </x:c>
      <x:c r="D248" s="11" t="str">
        <x:v>Empaque</x:v>
      </x:c>
      <x:c r="E248" s="11" t="str">
        <x:v>Vespertino</x:v>
      </x:c>
      <x:c r="F248" s="11" t="str">
        <x:v>MAT</x:v>
      </x:c>
      <x:c r="G248" s="11" t="str">
        <x:v>Falta de material</x:v>
      </x:c>
      <x:c r="H248" s="11" t="str">
        <x:v>Logística</x:v>
      </x:c>
      <x:c r="I248" s="11" t="n">
        <x:v>44</x:v>
      </x:c>
      <x:c r="J248" s="11" t="str">
        <x:v>Abierta</x:v>
      </x:c>
      <x:c r="K248" s="11" t="str">
        <x:v>Reinicio controlado</x:v>
      </x:c>
    </x:row>
    <x:row r="249">
      <x:c r="A249" s="11" t="n">
        <x:v>248</x:v>
      </x:c>
      <x:c r="B249" s="11" t="str">
        <x:v>2026-07-29</x:v>
      </x:c>
      <x:c r="C249" s="11" t="str">
        <x:v>L4</x:v>
      </x:c>
      <x:c r="D249" s="11" t="str">
        <x:v>Etiquetado</x:v>
      </x:c>
      <x:c r="E249" s="11" t="str">
        <x:v>Matutino</x:v>
      </x:c>
      <x:c r="F249" s="11" t="str">
        <x:v>CAM</x:v>
      </x:c>
      <x:c r="G249" s="11" t="str">
        <x:v>Cambio de formato</x:v>
      </x:c>
      <x:c r="H249" s="11" t="str">
        <x:v>Producción</x:v>
      </x:c>
      <x:c r="I249" s="11" t="n">
        <x:v>28</x:v>
      </x:c>
      <x:c r="J249" s="11" t="str">
        <x:v>Cerrada</x:v>
      </x:c>
      <x:c r="K249" s="11" t="str">
        <x:v>Abastecimiento</x:v>
      </x:c>
    </x:row>
    <x:row r="250">
      <x:c r="A250" s="11" t="n">
        <x:v>249</x:v>
      </x:c>
      <x:c r="B250" s="11" t="str">
        <x:v>2026-07-29</x:v>
      </x:c>
      <x:c r="C250" s="11" t="str">
        <x:v>L4</x:v>
      </x:c>
      <x:c r="D250" s="11" t="str">
        <x:v>Etiquetado</x:v>
      </x:c>
      <x:c r="E250" s="11" t="str">
        <x:v>Vespertino</x:v>
      </x:c>
      <x:c r="F250" s="11" t="str">
        <x:v>MEC</x:v>
      </x:c>
      <x:c r="G250" s="11" t="str">
        <x:v>Falla mecánica</x:v>
      </x:c>
      <x:c r="H250" s="11" t="str">
        <x:v>Mantenimiento</x:v>
      </x:c>
      <x:c r="I250" s="11" t="n">
        <x:v>22</x:v>
      </x:c>
      <x:c r="J250" s="11" t="str">
        <x:v>Cerrada</x:v>
      </x:c>
      <x:c r="K250" s="11" t="str">
        <x:v>Cambio de componente</x:v>
      </x:c>
    </x:row>
    <x:row r="251">
      <x:c r="A251" s="11" t="n">
        <x:v>250</x:v>
      </x:c>
      <x:c r="B251" s="11" t="str">
        <x:v>2026-07-30</x:v>
      </x:c>
      <x:c r="C251" s="11" t="str">
        <x:v>L1</x:v>
      </x:c>
      <x:c r="D251" s="11" t="str">
        <x:v>Envasado A</x:v>
      </x:c>
      <x:c r="E251" s="11" t="str">
        <x:v>Matutino</x:v>
      </x:c>
      <x:c r="F251" s="11" t="str">
        <x:v>CAL</x:v>
      </x:c>
      <x:c r="G251" s="11" t="str">
        <x:v>Ajuste de calidad</x:v>
      </x:c>
      <x:c r="H251" s="11" t="str">
        <x:v>Calidad</x:v>
      </x:c>
      <x:c r="I251" s="11" t="n">
        <x:v>16</x:v>
      </x:c>
      <x:c r="J251" s="11" t="str">
        <x:v>Cerrada</x:v>
      </x:c>
      <x:c r="K251" s="11" t="str">
        <x:v>Cambio de componente</x:v>
      </x:c>
    </x:row>
    <x:row r="252">
      <x:c r="A252" s="11" t="n">
        <x:v>251</x:v>
      </x:c>
      <x:c r="B252" s="11" t="str">
        <x:v>2026-07-30</x:v>
      </x:c>
      <x:c r="C252" s="11" t="str">
        <x:v>L2</x:v>
      </x:c>
      <x:c r="D252" s="11" t="str">
        <x:v>Envasado B</x:v>
      </x:c>
      <x:c r="E252" s="11" t="str">
        <x:v>Matutino</x:v>
      </x:c>
      <x:c r="F252" s="11" t="str">
        <x:v>CAM</x:v>
      </x:c>
      <x:c r="G252" s="11" t="str">
        <x:v>Cambio de formato</x:v>
      </x:c>
      <x:c r="H252" s="11" t="str">
        <x:v>Producción</x:v>
      </x:c>
      <x:c r="I252" s="11" t="n">
        <x:v>21</x:v>
      </x:c>
      <x:c r="J252" s="11" t="str">
        <x:v>Cerrada</x:v>
      </x:c>
      <x:c r="K252" s="11" t="str">
        <x:v>Cambio de componente</x:v>
      </x:c>
    </x:row>
    <x:row r="253">
      <x:c r="A253" s="11" t="n">
        <x:v>252</x:v>
      </x:c>
      <x:c r="B253" s="11" t="str">
        <x:v>2026-07-30</x:v>
      </x:c>
      <x:c r="C253" s="11" t="str">
        <x:v>L2</x:v>
      </x:c>
      <x:c r="D253" s="11" t="str">
        <x:v>Envasado B</x:v>
      </x:c>
      <x:c r="E253" s="11" t="str">
        <x:v>Vespertino</x:v>
      </x:c>
      <x:c r="F253" s="11" t="str">
        <x:v>MAT</x:v>
      </x:c>
      <x:c r="G253" s="11" t="str">
        <x:v>Falta de material</x:v>
      </x:c>
      <x:c r="H253" s="11" t="str">
        <x:v>Logística</x:v>
      </x:c>
      <x:c r="I253" s="11" t="n">
        <x:v>29</x:v>
      </x:c>
      <x:c r="J253" s="11" t="str">
        <x:v>Cerrada</x:v>
      </x:c>
      <x:c r="K253" s="11" t="str">
        <x:v>Ajuste y prueba</x:v>
      </x:c>
    </x:row>
    <x:row r="254">
      <x:c r="A254" s="11" t="n">
        <x:v>253</x:v>
      </x:c>
      <x:c r="B254" s="11" t="str">
        <x:v>2026-07-30</x:v>
      </x:c>
      <x:c r="C254" s="11" t="str">
        <x:v>L4</x:v>
      </x:c>
      <x:c r="D254" s="11" t="str">
        <x:v>Etiquetado</x:v>
      </x:c>
      <x:c r="E254" s="11" t="str">
        <x:v>Matutino</x:v>
      </x:c>
      <x:c r="F254" s="11" t="str">
        <x:v>MEC</x:v>
      </x:c>
      <x:c r="G254" s="11" t="str">
        <x:v>Falla mecánica</x:v>
      </x:c>
      <x:c r="H254" s="11" t="str">
        <x:v>Mantenimiento</x:v>
      </x:c>
      <x:c r="I254" s="11" t="n">
        <x:v>11</x:v>
      </x:c>
      <x:c r="J254" s="11" t="str">
        <x:v>Abierta</x:v>
      </x:c>
      <x:c r="K254" s="11" t="str">
        <x:v>Inspección y liberación</x:v>
      </x:c>
    </x:row>
    <x:row r="255">
      <x:c r="A255" s="11" t="n">
        <x:v>254</x:v>
      </x:c>
      <x:c r="B255" s="11" t="str">
        <x:v>2026-07-30</x:v>
      </x:c>
      <x:c r="C255" s="11" t="str">
        <x:v>L4</x:v>
      </x:c>
      <x:c r="D255" s="11" t="str">
        <x:v>Etiquetado</x:v>
      </x:c>
      <x:c r="E255" s="11" t="str">
        <x:v>Matutino</x:v>
      </x:c>
      <x:c r="F255" s="11" t="str">
        <x:v>CAL</x:v>
      </x:c>
      <x:c r="G255" s="11" t="str">
        <x:v>Ajuste de calidad</x:v>
      </x:c>
      <x:c r="H255" s="11" t="str">
        <x:v>Calidad</x:v>
      </x:c>
      <x:c r="I255" s="11" t="n">
        <x:v>37</x:v>
      </x:c>
      <x:c r="J255" s="11" t="str">
        <x:v>Cerrada</x:v>
      </x:c>
      <x:c r="K255" s="11" t="str">
        <x:v>Inspección y liberación</x:v>
      </x:c>
    </x:row>
    <x:row r="256">
      <x:c r="A256" s="11" t="n">
        <x:v>255</x:v>
      </x:c>
      <x:c r="B256" s="11" t="str">
        <x:v>2026-07-30</x:v>
      </x:c>
      <x:c r="C256" s="11" t="str">
        <x:v>L4</x:v>
      </x:c>
      <x:c r="D256" s="11" t="str">
        <x:v>Etiquetado</x:v>
      </x:c>
      <x:c r="E256" s="11" t="str">
        <x:v>Vespertino</x:v>
      </x:c>
      <x:c r="F256" s="11" t="str">
        <x:v>MAT</x:v>
      </x:c>
      <x:c r="G256" s="11" t="str">
        <x:v>Falta de material</x:v>
      </x:c>
      <x:c r="H256" s="11" t="str">
        <x:v>Logística</x:v>
      </x:c>
      <x:c r="I256" s="11" t="n">
        <x:v>57</x:v>
      </x:c>
      <x:c r="J256" s="11" t="str">
        <x:v>Cerrada</x:v>
      </x:c>
      <x:c r="K256" s="11" t="str">
        <x:v>Reinicio controlado</x:v>
      </x:c>
    </x:row>
    <x:row r="257">
      <x:c r="A257" s="11" t="n">
        <x:v>256</x:v>
      </x:c>
      <x:c r="B257" s="11" t="str">
        <x:v>2026-07-31</x:v>
      </x:c>
      <x:c r="C257" s="11" t="str">
        <x:v>L1</x:v>
      </x:c>
      <x:c r="D257" s="11" t="str">
        <x:v>Envasado A</x:v>
      </x:c>
      <x:c r="E257" s="11" t="str">
        <x:v>Matutino</x:v>
      </x:c>
      <x:c r="F257" s="11" t="str">
        <x:v>CAL</x:v>
      </x:c>
      <x:c r="G257" s="11" t="str">
        <x:v>Ajuste de calidad</x:v>
      </x:c>
      <x:c r="H257" s="11" t="str">
        <x:v>Calidad</x:v>
      </x:c>
      <x:c r="I257" s="11" t="n">
        <x:v>21</x:v>
      </x:c>
      <x:c r="J257" s="11" t="str">
        <x:v>Cerrada</x:v>
      </x:c>
      <x:c r="K257" s="11" t="str">
        <x:v>Cambio de componente</x:v>
      </x:c>
    </x:row>
    <x:row r="258">
      <x:c r="A258" s="11" t="n">
        <x:v>257</x:v>
      </x:c>
      <x:c r="B258" s="11" t="str">
        <x:v>2026-07-31</x:v>
      </x:c>
      <x:c r="C258" s="11" t="str">
        <x:v>L1</x:v>
      </x:c>
      <x:c r="D258" s="11" t="str">
        <x:v>Envasado A</x:v>
      </x:c>
      <x:c r="E258" s="11" t="str">
        <x:v>Matutino</x:v>
      </x:c>
      <x:c r="F258" s="11" t="str">
        <x:v>ELE</x:v>
      </x:c>
      <x:c r="G258" s="11" t="str">
        <x:v>Falla eléctrica</x:v>
      </x:c>
      <x:c r="H258" s="11" t="str">
        <x:v>Mantenimiento</x:v>
      </x:c>
      <x:c r="I258" s="11" t="n">
        <x:v>34</x:v>
      </x:c>
      <x:c r="J258" s="11" t="str">
        <x:v>Cerrada</x:v>
      </x:c>
      <x:c r="K258" s="11" t="str">
        <x:v>Inspección y liberación</x:v>
      </x:c>
    </x:row>
    <x:row r="259">
      <x:c r="A259" s="11" t="n">
        <x:v>258</x:v>
      </x:c>
      <x:c r="B259" s="11" t="str">
        <x:v>2026-07-31</x:v>
      </x:c>
      <x:c r="C259" s="11" t="str">
        <x:v>L1</x:v>
      </x:c>
      <x:c r="D259" s="11" t="str">
        <x:v>Envasado A</x:v>
      </x:c>
      <x:c r="E259" s="11" t="str">
        <x:v>Vespertino</x:v>
      </x:c>
      <x:c r="F259" s="11" t="str">
        <x:v>MAT</x:v>
      </x:c>
      <x:c r="G259" s="11" t="str">
        <x:v>Falta de material</x:v>
      </x:c>
      <x:c r="H259" s="11" t="str">
        <x:v>Logística</x:v>
      </x:c>
      <x:c r="I259" s="11" t="n">
        <x:v>11</x:v>
      </x:c>
      <x:c r="J259" s="11" t="str">
        <x:v>Cerrada</x:v>
      </x:c>
      <x:c r="K259" s="11" t="str">
        <x:v>Ajuste y prueba</x:v>
      </x:c>
    </x:row>
    <x:row r="260">
      <x:c r="A260" s="11" t="n">
        <x:v>259</x:v>
      </x:c>
      <x:c r="B260" s="11" t="str">
        <x:v>2026-07-31</x:v>
      </x:c>
      <x:c r="C260" s="11" t="str">
        <x:v>L2</x:v>
      </x:c>
      <x:c r="D260" s="11" t="str">
        <x:v>Envasado B</x:v>
      </x:c>
      <x:c r="E260" s="11" t="str">
        <x:v>Matutino</x:v>
      </x:c>
      <x:c r="F260" s="11" t="str">
        <x:v>ELE</x:v>
      </x:c>
      <x:c r="G260" s="11" t="str">
        <x:v>Falla eléctrica</x:v>
      </x:c>
      <x:c r="H260" s="11" t="str">
        <x:v>Mantenimiento</x:v>
      </x:c>
      <x:c r="I260" s="11" t="n">
        <x:v>40</x:v>
      </x:c>
      <x:c r="J260" s="11" t="str">
        <x:v>Abierta</x:v>
      </x:c>
      <x:c r="K260" s="11" t="str">
        <x:v>Inspección y liberación</x:v>
      </x:c>
    </x:row>
    <x:row r="261">
      <x:c r="A261" s="11" t="n">
        <x:v>260</x:v>
      </x:c>
      <x:c r="B261" s="11" t="str">
        <x:v>2026-07-31</x:v>
      </x:c>
      <x:c r="C261" s="11" t="str">
        <x:v>L3</x:v>
      </x:c>
      <x:c r="D261" s="11" t="str">
        <x:v>Empaque</x:v>
      </x:c>
      <x:c r="E261" s="11" t="str">
        <x:v>Matutino</x:v>
      </x:c>
      <x:c r="F261" s="11" t="str">
        <x:v>CAL</x:v>
      </x:c>
      <x:c r="G261" s="11" t="str">
        <x:v>Ajuste de calidad</x:v>
      </x:c>
      <x:c r="H261" s="11" t="str">
        <x:v>Calidad</x:v>
      </x:c>
      <x:c r="I261" s="11" t="n">
        <x:v>28</x:v>
      </x:c>
      <x:c r="J261" s="11" t="str">
        <x:v>Abierta</x:v>
      </x:c>
      <x:c r="K261" s="11" t="str">
        <x:v>Reinicio controlado</x:v>
      </x:c>
    </x:row>
    <x:row r="262">
      <x:c r="A262" s="11" t="n">
        <x:v>261</x:v>
      </x:c>
      <x:c r="B262" s="11" t="str">
        <x:v>2026-07-31</x:v>
      </x:c>
      <x:c r="C262" s="11" t="str">
        <x:v>L3</x:v>
      </x:c>
      <x:c r="D262" s="11" t="str">
        <x:v>Empaque</x:v>
      </x:c>
      <x:c r="E262" s="11" t="str">
        <x:v>Matutino</x:v>
      </x:c>
      <x:c r="F262" s="11" t="str">
        <x:v>MEC</x:v>
      </x:c>
      <x:c r="G262" s="11" t="str">
        <x:v>Falla mecánica</x:v>
      </x:c>
      <x:c r="H262" s="11" t="str">
        <x:v>Mantenimiento</x:v>
      </x:c>
      <x:c r="I262" s="11" t="n">
        <x:v>29</x:v>
      </x:c>
      <x:c r="J262" s="11" t="str">
        <x:v>Cerrada</x:v>
      </x:c>
      <x:c r="K262" s="11" t="str">
        <x:v>Ajuste y prueba</x:v>
      </x:c>
    </x:row>
    <x:row r="263">
      <x:c r="A263" s="11" t="n">
        <x:v>262</x:v>
      </x:c>
      <x:c r="B263" s="11" t="str">
        <x:v>2026-07-31</x:v>
      </x:c>
      <x:c r="C263" s="11" t="str">
        <x:v>L3</x:v>
      </x:c>
      <x:c r="D263" s="11" t="str">
        <x:v>Empaque</x:v>
      </x:c>
      <x:c r="E263" s="11" t="str">
        <x:v>Matutino</x:v>
      </x:c>
      <x:c r="F263" s="11" t="str">
        <x:v>ELE</x:v>
      </x:c>
      <x:c r="G263" s="11" t="str">
        <x:v>Falla eléctrica</x:v>
      </x:c>
      <x:c r="H263" s="11" t="str">
        <x:v>Mantenimiento</x:v>
      </x:c>
      <x:c r="I263" s="11" t="n">
        <x:v>5</x:v>
      </x:c>
      <x:c r="J263" s="11" t="str">
        <x:v>Cerrada</x:v>
      </x:c>
      <x:c r="K263" s="11" t="str">
        <x:v>Reinicio controlado</x:v>
      </x:c>
    </x:row>
    <x:row r="264">
      <x:c r="A264" s="11" t="n">
        <x:v>263</x:v>
      </x:c>
      <x:c r="B264" s="11" t="str">
        <x:v>2026-07-31</x:v>
      </x:c>
      <x:c r="C264" s="11" t="str">
        <x:v>L3</x:v>
      </x:c>
      <x:c r="D264" s="11" t="str">
        <x:v>Empaque</x:v>
      </x:c>
      <x:c r="E264" s="11" t="str">
        <x:v>Vespertino</x:v>
      </x:c>
      <x:c r="F264" s="11" t="str">
        <x:v>MAT</x:v>
      </x:c>
      <x:c r="G264" s="11" t="str">
        <x:v>Falta de material</x:v>
      </x:c>
      <x:c r="H264" s="11" t="str">
        <x:v>Logística</x:v>
      </x:c>
      <x:c r="I264" s="11" t="n">
        <x:v>42</x:v>
      </x:c>
      <x:c r="J264" s="11" t="str">
        <x:v>Cerrada</x:v>
      </x:c>
      <x:c r="K264" s="11" t="str">
        <x:v>Cambio de componente</x:v>
      </x:c>
    </x:row>
    <x:row r="265">
      <x:c r="A265" s="11" t="n">
        <x:v>264</x:v>
      </x:c>
      <x:c r="B265" s="11" t="str">
        <x:v>2026-07-31</x:v>
      </x:c>
      <x:c r="C265" s="11" t="str">
        <x:v>L4</x:v>
      </x:c>
      <x:c r="D265" s="11" t="str">
        <x:v>Etiquetado</x:v>
      </x:c>
      <x:c r="E265" s="11" t="str">
        <x:v>Matutino</x:v>
      </x:c>
      <x:c r="F265" s="11" t="str">
        <x:v>MEC</x:v>
      </x:c>
      <x:c r="G265" s="11" t="str">
        <x:v>Falla mecánica</x:v>
      </x:c>
      <x:c r="H265" s="11" t="str">
        <x:v>Mantenimiento</x:v>
      </x:c>
      <x:c r="I265" s="11" t="n">
        <x:v>17</x:v>
      </x:c>
      <x:c r="J265" s="11" t="str">
        <x:v>Cerrada</x:v>
      </x:c>
      <x:c r="K265" s="11" t="str">
        <x:v>Inspección y liberación</x:v>
      </x:c>
    </x:row>
    <x:row r="266">
      <x:c r="A266" s="11" t="n">
        <x:v>265</x:v>
      </x:c>
      <x:c r="B266" s="11" t="str">
        <x:v>2026-07-31</x:v>
      </x:c>
      <x:c r="C266" s="11" t="str">
        <x:v>L4</x:v>
      </x:c>
      <x:c r="D266" s="11" t="str">
        <x:v>Etiquetado</x:v>
      </x:c>
      <x:c r="E266" s="11" t="str">
        <x:v>Vespertino</x:v>
      </x:c>
      <x:c r="F266" s="11" t="str">
        <x:v>MEC</x:v>
      </x:c>
      <x:c r="G266" s="11" t="str">
        <x:v>Falla mecánica</x:v>
      </x:c>
      <x:c r="H266" s="11" t="str">
        <x:v>Mantenimiento</x:v>
      </x:c>
      <x:c r="I266" s="11" t="n">
        <x:v>25</x:v>
      </x:c>
      <x:c r="J266" s="11" t="str">
        <x:v>Cerrada</x:v>
      </x:c>
      <x:c r="K266" s="11" t="str">
        <x:v>Reinicio controlado</x:v>
      </x:c>
    </x:row>
    <x:row r="267">
      <x:c r="A267" s="11" t="n">
        <x:v>266</x:v>
      </x:c>
      <x:c r="B267" s="11" t="str">
        <x:v>2026-08-01</x:v>
      </x:c>
      <x:c r="C267" s="11" t="str">
        <x:v>L1</x:v>
      </x:c>
      <x:c r="D267" s="11" t="str">
        <x:v>Envasado A</x:v>
      </x:c>
      <x:c r="E267" s="11" t="str">
        <x:v>Matutino</x:v>
      </x:c>
      <x:c r="F267" s="11" t="str">
        <x:v>CAM</x:v>
      </x:c>
      <x:c r="G267" s="11" t="str">
        <x:v>Cambio de formato</x:v>
      </x:c>
      <x:c r="H267" s="11" t="str">
        <x:v>Producción</x:v>
      </x:c>
      <x:c r="I267" s="11" t="n">
        <x:v>32</x:v>
      </x:c>
      <x:c r="J267" s="11" t="str">
        <x:v>Cerrada</x:v>
      </x:c>
      <x:c r="K267" s="11" t="str">
        <x:v>Reinicio controlado</x:v>
      </x:c>
    </x:row>
    <x:row r="268">
      <x:c r="A268" s="11" t="n">
        <x:v>267</x:v>
      </x:c>
      <x:c r="B268" s="11" t="str">
        <x:v>2026-08-01</x:v>
      </x:c>
      <x:c r="C268" s="11" t="str">
        <x:v>L1</x:v>
      </x:c>
      <x:c r="D268" s="11" t="str">
        <x:v>Envasado A</x:v>
      </x:c>
      <x:c r="E268" s="11" t="str">
        <x:v>Vespertino</x:v>
      </x:c>
      <x:c r="F268" s="11" t="str">
        <x:v>CAL</x:v>
      </x:c>
      <x:c r="G268" s="11" t="str">
        <x:v>Ajuste de calidad</x:v>
      </x:c>
      <x:c r="H268" s="11" t="str">
        <x:v>Calidad</x:v>
      </x:c>
      <x:c r="I268" s="11" t="n">
        <x:v>40</x:v>
      </x:c>
      <x:c r="J268" s="11" t="str">
        <x:v>Cerrada</x:v>
      </x:c>
      <x:c r="K268" s="11" t="str">
        <x:v>Inspección y liberación</x:v>
      </x:c>
    </x:row>
    <x:row r="269">
      <x:c r="A269" s="11" t="n">
        <x:v>268</x:v>
      </x:c>
      <x:c r="B269" s="11" t="str">
        <x:v>2026-08-01</x:v>
      </x:c>
      <x:c r="C269" s="11" t="str">
        <x:v>L2</x:v>
      </x:c>
      <x:c r="D269" s="11" t="str">
        <x:v>Envasado B</x:v>
      </x:c>
      <x:c r="E269" s="11" t="str">
        <x:v>Vespertino</x:v>
      </x:c>
      <x:c r="F269" s="11" t="str">
        <x:v>ELE</x:v>
      </x:c>
      <x:c r="G269" s="11" t="str">
        <x:v>Falla eléctrica</x:v>
      </x:c>
      <x:c r="H269" s="11" t="str">
        <x:v>Mantenimiento</x:v>
      </x:c>
      <x:c r="I269" s="11" t="n">
        <x:v>27</x:v>
      </x:c>
      <x:c r="J269" s="11" t="str">
        <x:v>Cerrada</x:v>
      </x:c>
      <x:c r="K269" s="11" t="str">
        <x:v>Reinicio controlado</x:v>
      </x:c>
    </x:row>
    <x:row r="270">
      <x:c r="A270" s="11" t="n">
        <x:v>269</x:v>
      </x:c>
      <x:c r="B270" s="11" t="str">
        <x:v>2026-08-01</x:v>
      </x:c>
      <x:c r="C270" s="11" t="str">
        <x:v>L3</x:v>
      </x:c>
      <x:c r="D270" s="11" t="str">
        <x:v>Empaque</x:v>
      </x:c>
      <x:c r="E270" s="11" t="str">
        <x:v>Matutino</x:v>
      </x:c>
      <x:c r="F270" s="11" t="str">
        <x:v>CAM</x:v>
      </x:c>
      <x:c r="G270" s="11" t="str">
        <x:v>Cambio de formato</x:v>
      </x:c>
      <x:c r="H270" s="11" t="str">
        <x:v>Producción</x:v>
      </x:c>
      <x:c r="I270" s="11" t="n">
        <x:v>17</x:v>
      </x:c>
      <x:c r="J270" s="11" t="str">
        <x:v>Cerrada</x:v>
      </x:c>
      <x:c r="K270" s="11" t="str">
        <x:v>Ajuste y prueba</x:v>
      </x:c>
    </x:row>
    <x:row r="271">
      <x:c r="A271" s="11" t="n">
        <x:v>270</x:v>
      </x:c>
      <x:c r="B271" s="11" t="str">
        <x:v>2026-08-01</x:v>
      </x:c>
      <x:c r="C271" s="11" t="str">
        <x:v>L3</x:v>
      </x:c>
      <x:c r="D271" s="11" t="str">
        <x:v>Empaque</x:v>
      </x:c>
      <x:c r="E271" s="11" t="str">
        <x:v>Vespertino</x:v>
      </x:c>
      <x:c r="F271" s="11" t="str">
        <x:v>MAT</x:v>
      </x:c>
      <x:c r="G271" s="11" t="str">
        <x:v>Falta de material</x:v>
      </x:c>
      <x:c r="H271" s="11" t="str">
        <x:v>Logística</x:v>
      </x:c>
      <x:c r="I271" s="11" t="n">
        <x:v>43</x:v>
      </x:c>
      <x:c r="J271" s="11" t="str">
        <x:v>Cerrada</x:v>
      </x:c>
      <x:c r="K271" s="11" t="str">
        <x:v>Cambio de componente</x:v>
      </x:c>
    </x:row>
    <x:row r="272">
      <x:c r="A272" s="11" t="n">
        <x:v>271</x:v>
      </x:c>
      <x:c r="B272" s="11" t="str">
        <x:v>2026-08-01</x:v>
      </x:c>
      <x:c r="C272" s="11" t="str">
        <x:v>L4</x:v>
      </x:c>
      <x:c r="D272" s="11" t="str">
        <x:v>Etiquetado</x:v>
      </x:c>
      <x:c r="E272" s="11" t="str">
        <x:v>Matutino</x:v>
      </x:c>
      <x:c r="F272" s="11" t="str">
        <x:v>CAM</x:v>
      </x:c>
      <x:c r="G272" s="11" t="str">
        <x:v>Cambio de formato</x:v>
      </x:c>
      <x:c r="H272" s="11" t="str">
        <x:v>Producción</x:v>
      </x:c>
      <x:c r="I272" s="11" t="n">
        <x:v>43</x:v>
      </x:c>
      <x:c r="J272" s="11" t="str">
        <x:v>Cerrada</x:v>
      </x:c>
      <x:c r="K272" s="11" t="str">
        <x:v>Reinicio controlado</x:v>
      </x:c>
    </x:row>
    <x:row r="273">
      <x:c r="A273" s="11" t="n">
        <x:v>272</x:v>
      </x:c>
      <x:c r="B273" s="11" t="str">
        <x:v>2026-08-01</x:v>
      </x:c>
      <x:c r="C273" s="11" t="str">
        <x:v>L4</x:v>
      </x:c>
      <x:c r="D273" s="11" t="str">
        <x:v>Etiquetado</x:v>
      </x:c>
      <x:c r="E273" s="11" t="str">
        <x:v>Vespertino</x:v>
      </x:c>
      <x:c r="F273" s="11" t="str">
        <x:v>ELE</x:v>
      </x:c>
      <x:c r="G273" s="11" t="str">
        <x:v>Falla eléctrica</x:v>
      </x:c>
      <x:c r="H273" s="11" t="str">
        <x:v>Mantenimiento</x:v>
      </x:c>
      <x:c r="I273" s="11" t="n">
        <x:v>37</x:v>
      </x:c>
      <x:c r="J273" s="11" t="str">
        <x:v>Cerrada</x:v>
      </x:c>
      <x:c r="K273" s="11" t="str">
        <x:v>Abastecimiento</x:v>
      </x:c>
    </x:row>
    <x:row r="274">
      <x:c r="A274" s="11" t="n">
        <x:v>273</x:v>
      </x:c>
      <x:c r="B274" s="11" t="str">
        <x:v>2026-08-02</x:v>
      </x:c>
      <x:c r="C274" s="11" t="str">
        <x:v>L1</x:v>
      </x:c>
      <x:c r="D274" s="11" t="str">
        <x:v>Envasado A</x:v>
      </x:c>
      <x:c r="E274" s="11" t="str">
        <x:v>Matutino</x:v>
      </x:c>
      <x:c r="F274" s="11" t="str">
        <x:v>CAM</x:v>
      </x:c>
      <x:c r="G274" s="11" t="str">
        <x:v>Cambio de formato</x:v>
      </x:c>
      <x:c r="H274" s="11" t="str">
        <x:v>Producción</x:v>
      </x:c>
      <x:c r="I274" s="11" t="n">
        <x:v>4</x:v>
      </x:c>
      <x:c r="J274" s="11" t="str">
        <x:v>Cerrada</x:v>
      </x:c>
      <x:c r="K274" s="11" t="str">
        <x:v>Reinicio controlado</x:v>
      </x:c>
    </x:row>
    <x:row r="275">
      <x:c r="A275" s="11" t="n">
        <x:v>274</x:v>
      </x:c>
      <x:c r="B275" s="11" t="str">
        <x:v>2026-08-02</x:v>
      </x:c>
      <x:c r="C275" s="11" t="str">
        <x:v>L1</x:v>
      </x:c>
      <x:c r="D275" s="11" t="str">
        <x:v>Envasado A</x:v>
      </x:c>
      <x:c r="E275" s="11" t="str">
        <x:v>Vespertino</x:v>
      </x:c>
      <x:c r="F275" s="11" t="str">
        <x:v>MAT</x:v>
      </x:c>
      <x:c r="G275" s="11" t="str">
        <x:v>Falta de material</x:v>
      </x:c>
      <x:c r="H275" s="11" t="str">
        <x:v>Logística</x:v>
      </x:c>
      <x:c r="I275" s="11" t="n">
        <x:v>21</x:v>
      </x:c>
      <x:c r="J275" s="11" t="str">
        <x:v>Cerrada</x:v>
      </x:c>
      <x:c r="K275" s="11" t="str">
        <x:v>Inspección y liberación</x:v>
      </x:c>
    </x:row>
    <x:row r="276">
      <x:c r="A276" s="11" t="n">
        <x:v>275</x:v>
      </x:c>
      <x:c r="B276" s="11" t="str">
        <x:v>2026-08-02</x:v>
      </x:c>
      <x:c r="C276" s="11" t="str">
        <x:v>L2</x:v>
      </x:c>
      <x:c r="D276" s="11" t="str">
        <x:v>Envasado B</x:v>
      </x:c>
      <x:c r="E276" s="11" t="str">
        <x:v>Vespertino</x:v>
      </x:c>
      <x:c r="F276" s="11" t="str">
        <x:v>ELE</x:v>
      </x:c>
      <x:c r="G276" s="11" t="str">
        <x:v>Falla eléctrica</x:v>
      </x:c>
      <x:c r="H276" s="11" t="str">
        <x:v>Mantenimiento</x:v>
      </x:c>
      <x:c r="I276" s="11" t="n">
        <x:v>49</x:v>
      </x:c>
      <x:c r="J276" s="11" t="str">
        <x:v>Abierta</x:v>
      </x:c>
      <x:c r="K276" s="11" t="str">
        <x:v>Reinicio controlado</x:v>
      </x:c>
    </x:row>
    <x:row r="277">
      <x:c r="A277" s="11" t="n">
        <x:v>276</x:v>
      </x:c>
      <x:c r="B277" s="11" t="str">
        <x:v>2026-08-03</x:v>
      </x:c>
      <x:c r="C277" s="11" t="str">
        <x:v>L1</x:v>
      </x:c>
      <x:c r="D277" s="11" t="str">
        <x:v>Envasado A</x:v>
      </x:c>
      <x:c r="E277" s="11" t="str">
        <x:v>Matutino</x:v>
      </x:c>
      <x:c r="F277" s="11" t="str">
        <x:v>ELE</x:v>
      </x:c>
      <x:c r="G277" s="11" t="str">
        <x:v>Falla eléctrica</x:v>
      </x:c>
      <x:c r="H277" s="11" t="str">
        <x:v>Mantenimiento</x:v>
      </x:c>
      <x:c r="I277" s="11" t="n">
        <x:v>19</x:v>
      </x:c>
      <x:c r="J277" s="11" t="str">
        <x:v>Cerrada</x:v>
      </x:c>
      <x:c r="K277" s="11" t="str">
        <x:v>Reinicio controlado</x:v>
      </x:c>
    </x:row>
    <x:row r="278">
      <x:c r="A278" s="11" t="n">
        <x:v>277</x:v>
      </x:c>
      <x:c r="B278" s="11" t="str">
        <x:v>2026-08-03</x:v>
      </x:c>
      <x:c r="C278" s="11" t="str">
        <x:v>L1</x:v>
      </x:c>
      <x:c r="D278" s="11" t="str">
        <x:v>Envasado A</x:v>
      </x:c>
      <x:c r="E278" s="11" t="str">
        <x:v>Vespertino</x:v>
      </x:c>
      <x:c r="F278" s="11" t="str">
        <x:v>MEC</x:v>
      </x:c>
      <x:c r="G278" s="11" t="str">
        <x:v>Falla mecánica</x:v>
      </x:c>
      <x:c r="H278" s="11" t="str">
        <x:v>Mantenimiento</x:v>
      </x:c>
      <x:c r="I278" s="11" t="n">
        <x:v>24</x:v>
      </x:c>
      <x:c r="J278" s="11" t="str">
        <x:v>Abierta</x:v>
      </x:c>
      <x:c r="K278" s="11" t="str">
        <x:v>Ajuste y prueba</x:v>
      </x:c>
    </x:row>
    <x:row r="279">
      <x:c r="A279" s="11" t="n">
        <x:v>278</x:v>
      </x:c>
      <x:c r="B279" s="11" t="str">
        <x:v>2026-08-03</x:v>
      </x:c>
      <x:c r="C279" s="11" t="str">
        <x:v>L2</x:v>
      </x:c>
      <x:c r="D279" s="11" t="str">
        <x:v>Envasado B</x:v>
      </x:c>
      <x:c r="E279" s="11" t="str">
        <x:v>Vespertino</x:v>
      </x:c>
      <x:c r="F279" s="11" t="str">
        <x:v>CAL</x:v>
      </x:c>
      <x:c r="G279" s="11" t="str">
        <x:v>Ajuste de calidad</x:v>
      </x:c>
      <x:c r="H279" s="11" t="str">
        <x:v>Calidad</x:v>
      </x:c>
      <x:c r="I279" s="11" t="n">
        <x:v>20</x:v>
      </x:c>
      <x:c r="J279" s="11" t="str">
        <x:v>Abierta</x:v>
      </x:c>
      <x:c r="K279" s="11" t="str">
        <x:v>Inspección y liberación</x:v>
      </x:c>
    </x:row>
    <x:row r="280">
      <x:c r="A280" s="11" t="n">
        <x:v>279</x:v>
      </x:c>
      <x:c r="B280" s="11" t="str">
        <x:v>2026-08-03</x:v>
      </x:c>
      <x:c r="C280" s="11" t="str">
        <x:v>L3</x:v>
      </x:c>
      <x:c r="D280" s="11" t="str">
        <x:v>Empaque</x:v>
      </x:c>
      <x:c r="E280" s="11" t="str">
        <x:v>Matutino</x:v>
      </x:c>
      <x:c r="F280" s="11" t="str">
        <x:v>CAL</x:v>
      </x:c>
      <x:c r="G280" s="11" t="str">
        <x:v>Ajuste de calidad</x:v>
      </x:c>
      <x:c r="H280" s="11" t="str">
        <x:v>Calidad</x:v>
      </x:c>
      <x:c r="I280" s="11" t="n">
        <x:v>32</x:v>
      </x:c>
      <x:c r="J280" s="11" t="str">
        <x:v>Cerrada</x:v>
      </x:c>
      <x:c r="K280" s="11" t="str">
        <x:v>Ajuste y prueba</x:v>
      </x:c>
    </x:row>
    <x:row r="281">
      <x:c r="A281" s="11" t="n">
        <x:v>280</x:v>
      </x:c>
      <x:c r="B281" s="11" t="str">
        <x:v>2026-08-03</x:v>
      </x:c>
      <x:c r="C281" s="11" t="str">
        <x:v>L3</x:v>
      </x:c>
      <x:c r="D281" s="11" t="str">
        <x:v>Empaque</x:v>
      </x:c>
      <x:c r="E281" s="11" t="str">
        <x:v>Matutino</x:v>
      </x:c>
      <x:c r="F281" s="11" t="str">
        <x:v>MAT</x:v>
      </x:c>
      <x:c r="G281" s="11" t="str">
        <x:v>Falta de material</x:v>
      </x:c>
      <x:c r="H281" s="11" t="str">
        <x:v>Logística</x:v>
      </x:c>
      <x:c r="I281" s="11" t="n">
        <x:v>20</x:v>
      </x:c>
      <x:c r="J281" s="11" t="str">
        <x:v>Cerrada</x:v>
      </x:c>
      <x:c r="K281" s="11" t="str">
        <x:v>Cambio de componente</x:v>
      </x:c>
    </x:row>
    <x:row r="282">
      <x:c r="A282" s="11" t="n">
        <x:v>281</x:v>
      </x:c>
      <x:c r="B282" s="11" t="str">
        <x:v>2026-08-03</x:v>
      </x:c>
      <x:c r="C282" s="11" t="str">
        <x:v>L3</x:v>
      </x:c>
      <x:c r="D282" s="11" t="str">
        <x:v>Empaque</x:v>
      </x:c>
      <x:c r="E282" s="11" t="str">
        <x:v>Matutino</x:v>
      </x:c>
      <x:c r="F282" s="11" t="str">
        <x:v>MAT</x:v>
      </x:c>
      <x:c r="G282" s="11" t="str">
        <x:v>Falta de material</x:v>
      </x:c>
      <x:c r="H282" s="11" t="str">
        <x:v>Logística</x:v>
      </x:c>
      <x:c r="I282" s="11" t="n">
        <x:v>5</x:v>
      </x:c>
      <x:c r="J282" s="11" t="str">
        <x:v>Cerrada</x:v>
      </x:c>
      <x:c r="K282" s="11" t="str">
        <x:v>Cambio de componente</x:v>
      </x:c>
    </x:row>
    <x:row r="283">
      <x:c r="A283" s="11" t="n">
        <x:v>282</x:v>
      </x:c>
      <x:c r="B283" s="11" t="str">
        <x:v>2026-08-03</x:v>
      </x:c>
      <x:c r="C283" s="11" t="str">
        <x:v>L3</x:v>
      </x:c>
      <x:c r="D283" s="11" t="str">
        <x:v>Empaque</x:v>
      </x:c>
      <x:c r="E283" s="11" t="str">
        <x:v>Vespertino</x:v>
      </x:c>
      <x:c r="F283" s="11" t="str">
        <x:v>CAM</x:v>
      </x:c>
      <x:c r="G283" s="11" t="str">
        <x:v>Cambio de formato</x:v>
      </x:c>
      <x:c r="H283" s="11" t="str">
        <x:v>Producción</x:v>
      </x:c>
      <x:c r="I283" s="11" t="n">
        <x:v>12</x:v>
      </x:c>
      <x:c r="J283" s="11" t="str">
        <x:v>Abierta</x:v>
      </x:c>
      <x:c r="K283" s="11" t="str">
        <x:v>Abastecimiento</x:v>
      </x:c>
    </x:row>
    <x:row r="284">
      <x:c r="A284" s="11" t="n">
        <x:v>283</x:v>
      </x:c>
      <x:c r="B284" s="11" t="str">
        <x:v>2026-08-03</x:v>
      </x:c>
      <x:c r="C284" s="11" t="str">
        <x:v>L3</x:v>
      </x:c>
      <x:c r="D284" s="11" t="str">
        <x:v>Empaque</x:v>
      </x:c>
      <x:c r="E284" s="11" t="str">
        <x:v>Vespertino</x:v>
      </x:c>
      <x:c r="F284" s="11" t="str">
        <x:v>MAT</x:v>
      </x:c>
      <x:c r="G284" s="11" t="str">
        <x:v>Falta de material</x:v>
      </x:c>
      <x:c r="H284" s="11" t="str">
        <x:v>Logística</x:v>
      </x:c>
      <x:c r="I284" s="11" t="n">
        <x:v>39</x:v>
      </x:c>
      <x:c r="J284" s="11" t="str">
        <x:v>Abierta</x:v>
      </x:c>
      <x:c r="K284" s="11" t="str">
        <x:v>Cambio de componente</x:v>
      </x:c>
    </x:row>
    <x:row r="285">
      <x:c r="A285" s="11" t="n">
        <x:v>284</x:v>
      </x:c>
      <x:c r="B285" s="11" t="str">
        <x:v>2026-08-03</x:v>
      </x:c>
      <x:c r="C285" s="11" t="str">
        <x:v>L4</x:v>
      </x:c>
      <x:c r="D285" s="11" t="str">
        <x:v>Etiquetado</x:v>
      </x:c>
      <x:c r="E285" s="11" t="str">
        <x:v>Matutino</x:v>
      </x:c>
      <x:c r="F285" s="11" t="str">
        <x:v>CAL</x:v>
      </x:c>
      <x:c r="G285" s="11" t="str">
        <x:v>Ajuste de calidad</x:v>
      </x:c>
      <x:c r="H285" s="11" t="str">
        <x:v>Calidad</x:v>
      </x:c>
      <x:c r="I285" s="11" t="n">
        <x:v>39</x:v>
      </x:c>
      <x:c r="J285" s="11" t="str">
        <x:v>Cerrada</x:v>
      </x:c>
      <x:c r="K285" s="11" t="str">
        <x:v>Inspección y liberación</x:v>
      </x:c>
    </x:row>
    <x:row r="286">
      <x:c r="A286" s="11" t="n">
        <x:v>285</x:v>
      </x:c>
      <x:c r="B286" s="11" t="str">
        <x:v>2026-08-04</x:v>
      </x:c>
      <x:c r="C286" s="11" t="str">
        <x:v>L2</x:v>
      </x:c>
      <x:c r="D286" s="11" t="str">
        <x:v>Envasado B</x:v>
      </x:c>
      <x:c r="E286" s="11" t="str">
        <x:v>Matutino</x:v>
      </x:c>
      <x:c r="F286" s="11" t="str">
        <x:v>ELE</x:v>
      </x:c>
      <x:c r="G286" s="11" t="str">
        <x:v>Falla eléctrica</x:v>
      </x:c>
      <x:c r="H286" s="11" t="str">
        <x:v>Mantenimiento</x:v>
      </x:c>
      <x:c r="I286" s="11" t="n">
        <x:v>22</x:v>
      </x:c>
      <x:c r="J286" s="11" t="str">
        <x:v>Cerrada</x:v>
      </x:c>
      <x:c r="K286" s="11" t="str">
        <x:v>Inspección y liberación</x:v>
      </x:c>
    </x:row>
    <x:row r="287">
      <x:c r="A287" s="11" t="n">
        <x:v>286</x:v>
      </x:c>
      <x:c r="B287" s="11" t="str">
        <x:v>2026-08-04</x:v>
      </x:c>
      <x:c r="C287" s="11" t="str">
        <x:v>L2</x:v>
      </x:c>
      <x:c r="D287" s="11" t="str">
        <x:v>Envasado B</x:v>
      </x:c>
      <x:c r="E287" s="11" t="str">
        <x:v>Matutino</x:v>
      </x:c>
      <x:c r="F287" s="11" t="str">
        <x:v>CAL</x:v>
      </x:c>
      <x:c r="G287" s="11" t="str">
        <x:v>Ajuste de calidad</x:v>
      </x:c>
      <x:c r="H287" s="11" t="str">
        <x:v>Calidad</x:v>
      </x:c>
      <x:c r="I287" s="11" t="n">
        <x:v>50</x:v>
      </x:c>
      <x:c r="J287" s="11" t="str">
        <x:v>Cerrada</x:v>
      </x:c>
      <x:c r="K287" s="11" t="str">
        <x:v>Abastecimiento</x:v>
      </x:c>
    </x:row>
    <x:row r="288">
      <x:c r="A288" s="11" t="n">
        <x:v>287</x:v>
      </x:c>
      <x:c r="B288" s="11" t="str">
        <x:v>2026-08-04</x:v>
      </x:c>
      <x:c r="C288" s="11" t="str">
        <x:v>L2</x:v>
      </x:c>
      <x:c r="D288" s="11" t="str">
        <x:v>Envasado B</x:v>
      </x:c>
      <x:c r="E288" s="11" t="str">
        <x:v>Vespertino</x:v>
      </x:c>
      <x:c r="F288" s="11" t="str">
        <x:v>MAT</x:v>
      </x:c>
      <x:c r="G288" s="11" t="str">
        <x:v>Falta de material</x:v>
      </x:c>
      <x:c r="H288" s="11" t="str">
        <x:v>Logística</x:v>
      </x:c>
      <x:c r="I288" s="11" t="n">
        <x:v>18</x:v>
      </x:c>
      <x:c r="J288" s="11" t="str">
        <x:v>Abierta</x:v>
      </x:c>
      <x:c r="K288" s="11" t="str">
        <x:v>Cambio de componente</x:v>
      </x:c>
    </x:row>
    <x:row r="289">
      <x:c r="A289" s="11" t="n">
        <x:v>288</x:v>
      </x:c>
      <x:c r="B289" s="11" t="str">
        <x:v>2026-08-04</x:v>
      </x:c>
      <x:c r="C289" s="11" t="str">
        <x:v>L3</x:v>
      </x:c>
      <x:c r="D289" s="11" t="str">
        <x:v>Empaque</x:v>
      </x:c>
      <x:c r="E289" s="11" t="str">
        <x:v>Matutino</x:v>
      </x:c>
      <x:c r="F289" s="11" t="str">
        <x:v>CAM</x:v>
      </x:c>
      <x:c r="G289" s="11" t="str">
        <x:v>Cambio de formato</x:v>
      </x:c>
      <x:c r="H289" s="11" t="str">
        <x:v>Producción</x:v>
      </x:c>
      <x:c r="I289" s="11" t="n">
        <x:v>10</x:v>
      </x:c>
      <x:c r="J289" s="11" t="str">
        <x:v>Cerrada</x:v>
      </x:c>
      <x:c r="K289" s="11" t="str">
        <x:v>Ajuste y prueba</x:v>
      </x:c>
    </x:row>
    <x:row r="290">
      <x:c r="A290" s="11" t="n">
        <x:v>289</x:v>
      </x:c>
      <x:c r="B290" s="11" t="str">
        <x:v>2026-08-04</x:v>
      </x:c>
      <x:c r="C290" s="11" t="str">
        <x:v>L3</x:v>
      </x:c>
      <x:c r="D290" s="11" t="str">
        <x:v>Empaque</x:v>
      </x:c>
      <x:c r="E290" s="11" t="str">
        <x:v>Vespertino</x:v>
      </x:c>
      <x:c r="F290" s="11" t="str">
        <x:v>MAT</x:v>
      </x:c>
      <x:c r="G290" s="11" t="str">
        <x:v>Falta de material</x:v>
      </x:c>
      <x:c r="H290" s="11" t="str">
        <x:v>Logística</x:v>
      </x:c>
      <x:c r="I290" s="11" t="n">
        <x:v>43</x:v>
      </x:c>
      <x:c r="J290" s="11" t="str">
        <x:v>Cerrada</x:v>
      </x:c>
      <x:c r="K290" s="11" t="str">
        <x:v>Cambio de componente</x:v>
      </x:c>
    </x:row>
    <x:row r="291">
      <x:c r="A291" s="11" t="n">
        <x:v>290</x:v>
      </x:c>
      <x:c r="B291" s="11" t="str">
        <x:v>2026-08-04</x:v>
      </x:c>
      <x:c r="C291" s="11" t="str">
        <x:v>L4</x:v>
      </x:c>
      <x:c r="D291" s="11" t="str">
        <x:v>Etiquetado</x:v>
      </x:c>
      <x:c r="E291" s="11" t="str">
        <x:v>Matutino</x:v>
      </x:c>
      <x:c r="F291" s="11" t="str">
        <x:v>MEC</x:v>
      </x:c>
      <x:c r="G291" s="11" t="str">
        <x:v>Falla mecánica</x:v>
      </x:c>
      <x:c r="H291" s="11" t="str">
        <x:v>Mantenimiento</x:v>
      </x:c>
      <x:c r="I291" s="11" t="n">
        <x:v>28</x:v>
      </x:c>
      <x:c r="J291" s="11" t="str">
        <x:v>Cerrada</x:v>
      </x:c>
      <x:c r="K291" s="11" t="str">
        <x:v>Inspección y liberación</x:v>
      </x:c>
    </x:row>
    <x:row r="292">
      <x:c r="A292" s="11" t="n">
        <x:v>291</x:v>
      </x:c>
      <x:c r="B292" s="11" t="str">
        <x:v>2026-08-04</x:v>
      </x:c>
      <x:c r="C292" s="11" t="str">
        <x:v>L4</x:v>
      </x:c>
      <x:c r="D292" s="11" t="str">
        <x:v>Etiquetado</x:v>
      </x:c>
      <x:c r="E292" s="11" t="str">
        <x:v>Vespertino</x:v>
      </x:c>
      <x:c r="F292" s="11" t="str">
        <x:v>MAT</x:v>
      </x:c>
      <x:c r="G292" s="11" t="str">
        <x:v>Falta de material</x:v>
      </x:c>
      <x:c r="H292" s="11" t="str">
        <x:v>Logística</x:v>
      </x:c>
      <x:c r="I292" s="11" t="n">
        <x:v>39</x:v>
      </x:c>
      <x:c r="J292" s="11" t="str">
        <x:v>Cerrada</x:v>
      </x:c>
      <x:c r="K292" s="11" t="str">
        <x:v>Abastecimiento</x:v>
      </x:c>
    </x:row>
    <x:row r="293">
      <x:c r="A293" s="11" t="n">
        <x:v>292</x:v>
      </x:c>
      <x:c r="B293" s="11" t="str">
        <x:v>2026-08-05</x:v>
      </x:c>
      <x:c r="C293" s="11" t="str">
        <x:v>L1</x:v>
      </x:c>
      <x:c r="D293" s="11" t="str">
        <x:v>Envasado A</x:v>
      </x:c>
      <x:c r="E293" s="11" t="str">
        <x:v>Matutino</x:v>
      </x:c>
      <x:c r="F293" s="11" t="str">
        <x:v>MEC</x:v>
      </x:c>
      <x:c r="G293" s="11" t="str">
        <x:v>Falla mecánica</x:v>
      </x:c>
      <x:c r="H293" s="11" t="str">
        <x:v>Mantenimiento</x:v>
      </x:c>
      <x:c r="I293" s="11" t="n">
        <x:v>9</x:v>
      </x:c>
      <x:c r="J293" s="11" t="str">
        <x:v>Cerrada</x:v>
      </x:c>
      <x:c r="K293" s="11" t="str">
        <x:v>Ajuste y prueba</x:v>
      </x:c>
    </x:row>
    <x:row r="294">
      <x:c r="A294" s="11" t="n">
        <x:v>293</x:v>
      </x:c>
      <x:c r="B294" s="11" t="str">
        <x:v>2026-08-05</x:v>
      </x:c>
      <x:c r="C294" s="11" t="str">
        <x:v>L1</x:v>
      </x:c>
      <x:c r="D294" s="11" t="str">
        <x:v>Envasado A</x:v>
      </x:c>
      <x:c r="E294" s="11" t="str">
        <x:v>Matutino</x:v>
      </x:c>
      <x:c r="F294" s="11" t="str">
        <x:v>CAL</x:v>
      </x:c>
      <x:c r="G294" s="11" t="str">
        <x:v>Ajuste de calidad</x:v>
      </x:c>
      <x:c r="H294" s="11" t="str">
        <x:v>Calidad</x:v>
      </x:c>
      <x:c r="I294" s="11" t="n">
        <x:v>30</x:v>
      </x:c>
      <x:c r="J294" s="11" t="str">
        <x:v>Cerrada</x:v>
      </x:c>
      <x:c r="K294" s="11" t="str">
        <x:v>Reinicio controlado</x:v>
      </x:c>
    </x:row>
    <x:row r="295">
      <x:c r="A295" s="11" t="n">
        <x:v>294</x:v>
      </x:c>
      <x:c r="B295" s="11" t="str">
        <x:v>2026-08-05</x:v>
      </x:c>
      <x:c r="C295" s="11" t="str">
        <x:v>L1</x:v>
      </x:c>
      <x:c r="D295" s="11" t="str">
        <x:v>Envasado A</x:v>
      </x:c>
      <x:c r="E295" s="11" t="str">
        <x:v>Matutino</x:v>
      </x:c>
      <x:c r="F295" s="11" t="str">
        <x:v>CAL</x:v>
      </x:c>
      <x:c r="G295" s="11" t="str">
        <x:v>Ajuste de calidad</x:v>
      </x:c>
      <x:c r="H295" s="11" t="str">
        <x:v>Calidad</x:v>
      </x:c>
      <x:c r="I295" s="11" t="n">
        <x:v>6</x:v>
      </x:c>
      <x:c r="J295" s="11" t="str">
        <x:v>Cerrada</x:v>
      </x:c>
      <x:c r="K295" s="11" t="str">
        <x:v>Abastecimiento</x:v>
      </x:c>
    </x:row>
    <x:row r="296">
      <x:c r="A296" s="11" t="n">
        <x:v>295</x:v>
      </x:c>
      <x:c r="B296" s="11" t="str">
        <x:v>2026-08-05</x:v>
      </x:c>
      <x:c r="C296" s="11" t="str">
        <x:v>L1</x:v>
      </x:c>
      <x:c r="D296" s="11" t="str">
        <x:v>Envasado A</x:v>
      </x:c>
      <x:c r="E296" s="11" t="str">
        <x:v>Vespertino</x:v>
      </x:c>
      <x:c r="F296" s="11" t="str">
        <x:v>CAL</x:v>
      </x:c>
      <x:c r="G296" s="11" t="str">
        <x:v>Ajuste de calidad</x:v>
      </x:c>
      <x:c r="H296" s="11" t="str">
        <x:v>Calidad</x:v>
      </x:c>
      <x:c r="I296" s="11" t="n">
        <x:v>19</x:v>
      </x:c>
      <x:c r="J296" s="11" t="str">
        <x:v>Abierta</x:v>
      </x:c>
      <x:c r="K296" s="11" t="str">
        <x:v>Inspección y liberación</x:v>
      </x:c>
    </x:row>
    <x:row r="297">
      <x:c r="A297" s="11" t="n">
        <x:v>296</x:v>
      </x:c>
      <x:c r="B297" s="11" t="str">
        <x:v>2026-08-05</x:v>
      </x:c>
      <x:c r="C297" s="11" t="str">
        <x:v>L1</x:v>
      </x:c>
      <x:c r="D297" s="11" t="str">
        <x:v>Envasado A</x:v>
      </x:c>
      <x:c r="E297" s="11" t="str">
        <x:v>Vespertino</x:v>
      </x:c>
      <x:c r="F297" s="11" t="str">
        <x:v>CAM</x:v>
      </x:c>
      <x:c r="G297" s="11" t="str">
        <x:v>Cambio de formato</x:v>
      </x:c>
      <x:c r="H297" s="11" t="str">
        <x:v>Producción</x:v>
      </x:c>
      <x:c r="I297" s="11" t="n">
        <x:v>16</x:v>
      </x:c>
      <x:c r="J297" s="11" t="str">
        <x:v>Cerrada</x:v>
      </x:c>
      <x:c r="K297" s="11" t="str">
        <x:v>Inspección y liberación</x:v>
      </x:c>
    </x:row>
    <x:row r="298">
      <x:c r="A298" s="11" t="n">
        <x:v>297</x:v>
      </x:c>
      <x:c r="B298" s="11" t="str">
        <x:v>2026-08-05</x:v>
      </x:c>
      <x:c r="C298" s="11" t="str">
        <x:v>L1</x:v>
      </x:c>
      <x:c r="D298" s="11" t="str">
        <x:v>Envasado A</x:v>
      </x:c>
      <x:c r="E298" s="11" t="str">
        <x:v>Vespertino</x:v>
      </x:c>
      <x:c r="F298" s="11" t="str">
        <x:v>CAM</x:v>
      </x:c>
      <x:c r="G298" s="11" t="str">
        <x:v>Cambio de formato</x:v>
      </x:c>
      <x:c r="H298" s="11" t="str">
        <x:v>Producción</x:v>
      </x:c>
      <x:c r="I298" s="11" t="n">
        <x:v>25</x:v>
      </x:c>
      <x:c r="J298" s="11" t="str">
        <x:v>Cerrada</x:v>
      </x:c>
      <x:c r="K298" s="11" t="str">
        <x:v>Reinicio controlado</x:v>
      </x:c>
    </x:row>
    <x:row r="299">
      <x:c r="A299" s="11" t="n">
        <x:v>298</x:v>
      </x:c>
      <x:c r="B299" s="11" t="str">
        <x:v>2026-08-05</x:v>
      </x:c>
      <x:c r="C299" s="11" t="str">
        <x:v>L2</x:v>
      </x:c>
      <x:c r="D299" s="11" t="str">
        <x:v>Envasado B</x:v>
      </x:c>
      <x:c r="E299" s="11" t="str">
        <x:v>Matutino</x:v>
      </x:c>
      <x:c r="F299" s="11" t="str">
        <x:v>CAM</x:v>
      </x:c>
      <x:c r="G299" s="11" t="str">
        <x:v>Cambio de formato</x:v>
      </x:c>
      <x:c r="H299" s="11" t="str">
        <x:v>Producción</x:v>
      </x:c>
      <x:c r="I299" s="11" t="n">
        <x:v>42</x:v>
      </x:c>
      <x:c r="J299" s="11" t="str">
        <x:v>Cerrada</x:v>
      </x:c>
      <x:c r="K299" s="11" t="str">
        <x:v>Inspección y liberación</x:v>
      </x:c>
    </x:row>
    <x:row r="300">
      <x:c r="A300" s="11" t="n">
        <x:v>299</x:v>
      </x:c>
      <x:c r="B300" s="11" t="str">
        <x:v>2026-08-05</x:v>
      </x:c>
      <x:c r="C300" s="11" t="str">
        <x:v>L2</x:v>
      </x:c>
      <x:c r="D300" s="11" t="str">
        <x:v>Envasado B</x:v>
      </x:c>
      <x:c r="E300" s="11" t="str">
        <x:v>Vespertino</x:v>
      </x:c>
      <x:c r="F300" s="11" t="str">
        <x:v>MEC</x:v>
      </x:c>
      <x:c r="G300" s="11" t="str">
        <x:v>Falla mecánica</x:v>
      </x:c>
      <x:c r="H300" s="11" t="str">
        <x:v>Mantenimiento</x:v>
      </x:c>
      <x:c r="I300" s="11" t="n">
        <x:v>15</x:v>
      </x:c>
      <x:c r="J300" s="11" t="str">
        <x:v>Cerrada</x:v>
      </x:c>
      <x:c r="K300" s="11" t="str">
        <x:v>Abastecimiento</x:v>
      </x:c>
    </x:row>
    <x:row r="301">
      <x:c r="A301" s="11" t="n">
        <x:v>300</x:v>
      </x:c>
      <x:c r="B301" s="11" t="str">
        <x:v>2026-08-05</x:v>
      </x:c>
      <x:c r="C301" s="11" t="str">
        <x:v>L3</x:v>
      </x:c>
      <x:c r="D301" s="11" t="str">
        <x:v>Empaque</x:v>
      </x:c>
      <x:c r="E301" s="11" t="str">
        <x:v>Matutino</x:v>
      </x:c>
      <x:c r="F301" s="11" t="str">
        <x:v>ELE</x:v>
      </x:c>
      <x:c r="G301" s="11" t="str">
        <x:v>Falla eléctrica</x:v>
      </x:c>
      <x:c r="H301" s="11" t="str">
        <x:v>Mantenimiento</x:v>
      </x:c>
      <x:c r="I301" s="11" t="n">
        <x:v>37</x:v>
      </x:c>
      <x:c r="J301" s="11" t="str">
        <x:v>Cerrada</x:v>
      </x:c>
      <x:c r="K301" s="11" t="str">
        <x:v>Ajuste y prueba</x:v>
      </x:c>
    </x:row>
    <x:row r="302">
      <x:c r="A302" s="11" t="n">
        <x:v>301</x:v>
      </x:c>
      <x:c r="B302" s="11" t="str">
        <x:v>2026-08-05</x:v>
      </x:c>
      <x:c r="C302" s="11" t="str">
        <x:v>L3</x:v>
      </x:c>
      <x:c r="D302" s="11" t="str">
        <x:v>Empaque</x:v>
      </x:c>
      <x:c r="E302" s="11" t="str">
        <x:v>Vespertino</x:v>
      </x:c>
      <x:c r="F302" s="11" t="str">
        <x:v>CAL</x:v>
      </x:c>
      <x:c r="G302" s="11" t="str">
        <x:v>Ajuste de calidad</x:v>
      </x:c>
      <x:c r="H302" s="11" t="str">
        <x:v>Calidad</x:v>
      </x:c>
      <x:c r="I302" s="11" t="n">
        <x:v>3</x:v>
      </x:c>
      <x:c r="J302" s="11" t="str">
        <x:v>Cerrada</x:v>
      </x:c>
      <x:c r="K302" s="11" t="str">
        <x:v>Cambio de componente</x:v>
      </x:c>
    </x:row>
    <x:row r="303">
      <x:c r="A303" s="11" t="n">
        <x:v>302</x:v>
      </x:c>
      <x:c r="B303" s="11" t="str">
        <x:v>2026-08-05</x:v>
      </x:c>
      <x:c r="C303" s="11" t="str">
        <x:v>L4</x:v>
      </x:c>
      <x:c r="D303" s="11" t="str">
        <x:v>Etiquetado</x:v>
      </x:c>
      <x:c r="E303" s="11" t="str">
        <x:v>Matutino</x:v>
      </x:c>
      <x:c r="F303" s="11" t="str">
        <x:v>ELE</x:v>
      </x:c>
      <x:c r="G303" s="11" t="str">
        <x:v>Falla eléctrica</x:v>
      </x:c>
      <x:c r="H303" s="11" t="str">
        <x:v>Mantenimiento</x:v>
      </x:c>
      <x:c r="I303" s="11" t="n">
        <x:v>13</x:v>
      </x:c>
      <x:c r="J303" s="11" t="str">
        <x:v>Cerrada</x:v>
      </x:c>
      <x:c r="K303" s="11" t="str">
        <x:v>Inspección y liberación</x:v>
      </x:c>
    </x:row>
    <x:row r="304">
      <x:c r="A304" s="11" t="n">
        <x:v>303</x:v>
      </x:c>
      <x:c r="B304" s="11" t="str">
        <x:v>2026-08-05</x:v>
      </x:c>
      <x:c r="C304" s="11" t="str">
        <x:v>L4</x:v>
      </x:c>
      <x:c r="D304" s="11" t="str">
        <x:v>Etiquetado</x:v>
      </x:c>
      <x:c r="E304" s="11" t="str">
        <x:v>Matutino</x:v>
      </x:c>
      <x:c r="F304" s="11" t="str">
        <x:v>MEC</x:v>
      </x:c>
      <x:c r="G304" s="11" t="str">
        <x:v>Falla mecánica</x:v>
      </x:c>
      <x:c r="H304" s="11" t="str">
        <x:v>Mantenimiento</x:v>
      </x:c>
      <x:c r="I304" s="11" t="n">
        <x:v>64</x:v>
      </x:c>
      <x:c r="J304" s="11" t="str">
        <x:v>Cerrada</x:v>
      </x:c>
      <x:c r="K304" s="11" t="str">
        <x:v>Abastecimiento</x:v>
      </x:c>
    </x:row>
    <x:row r="305">
      <x:c r="A305" s="11" t="n">
        <x:v>304</x:v>
      </x:c>
      <x:c r="B305" s="11" t="str">
        <x:v>2026-08-05</x:v>
      </x:c>
      <x:c r="C305" s="11" t="str">
        <x:v>L4</x:v>
      </x:c>
      <x:c r="D305" s="11" t="str">
        <x:v>Etiquetado</x:v>
      </x:c>
      <x:c r="E305" s="11" t="str">
        <x:v>Vespertino</x:v>
      </x:c>
      <x:c r="F305" s="11" t="str">
        <x:v>MAT</x:v>
      </x:c>
      <x:c r="G305" s="11" t="str">
        <x:v>Falta de material</x:v>
      </x:c>
      <x:c r="H305" s="11" t="str">
        <x:v>Logística</x:v>
      </x:c>
      <x:c r="I305" s="11" t="n">
        <x:v>6</x:v>
      </x:c>
      <x:c r="J305" s="11" t="str">
        <x:v>Abierta</x:v>
      </x:c>
      <x:c r="K305" s="11" t="str">
        <x:v>Abastecimiento</x:v>
      </x:c>
    </x:row>
    <x:row r="306">
      <x:c r="A306" s="11" t="n">
        <x:v>305</x:v>
      </x:c>
      <x:c r="B306" s="11" t="str">
        <x:v>2026-08-06</x:v>
      </x:c>
      <x:c r="C306" s="11" t="str">
        <x:v>L1</x:v>
      </x:c>
      <x:c r="D306" s="11" t="str">
        <x:v>Envasado A</x:v>
      </x:c>
      <x:c r="E306" s="11" t="str">
        <x:v>Matutino</x:v>
      </x:c>
      <x:c r="F306" s="11" t="str">
        <x:v>ELE</x:v>
      </x:c>
      <x:c r="G306" s="11" t="str">
        <x:v>Falla eléctrica</x:v>
      </x:c>
      <x:c r="H306" s="11" t="str">
        <x:v>Mantenimiento</x:v>
      </x:c>
      <x:c r="I306" s="11" t="n">
        <x:v>23</x:v>
      </x:c>
      <x:c r="J306" s="11" t="str">
        <x:v>Cerrada</x:v>
      </x:c>
      <x:c r="K306" s="11" t="str">
        <x:v>Abastecimiento</x:v>
      </x:c>
    </x:row>
    <x:row r="307">
      <x:c r="A307" s="11" t="n">
        <x:v>306</x:v>
      </x:c>
      <x:c r="B307" s="11" t="str">
        <x:v>2026-08-06</x:v>
      </x:c>
      <x:c r="C307" s="11" t="str">
        <x:v>L1</x:v>
      </x:c>
      <x:c r="D307" s="11" t="str">
        <x:v>Envasado A</x:v>
      </x:c>
      <x:c r="E307" s="11" t="str">
        <x:v>Matutino</x:v>
      </x:c>
      <x:c r="F307" s="11" t="str">
        <x:v>ELE</x:v>
      </x:c>
      <x:c r="G307" s="11" t="str">
        <x:v>Falla eléctrica</x:v>
      </x:c>
      <x:c r="H307" s="11" t="str">
        <x:v>Mantenimiento</x:v>
      </x:c>
      <x:c r="I307" s="11" t="n">
        <x:v>8</x:v>
      </x:c>
      <x:c r="J307" s="11" t="str">
        <x:v>Abierta</x:v>
      </x:c>
      <x:c r="K307" s="11" t="str">
        <x:v>Cambio de componente</x:v>
      </x:c>
    </x:row>
    <x:row r="308">
      <x:c r="A308" s="11" t="n">
        <x:v>307</x:v>
      </x:c>
      <x:c r="B308" s="11" t="str">
        <x:v>2026-08-06</x:v>
      </x:c>
      <x:c r="C308" s="11" t="str">
        <x:v>L1</x:v>
      </x:c>
      <x:c r="D308" s="11" t="str">
        <x:v>Envasado A</x:v>
      </x:c>
      <x:c r="E308" s="11" t="str">
        <x:v>Matutino</x:v>
      </x:c>
      <x:c r="F308" s="11" t="str">
        <x:v>CAL</x:v>
      </x:c>
      <x:c r="G308" s="11" t="str">
        <x:v>Ajuste de calidad</x:v>
      </x:c>
      <x:c r="H308" s="11" t="str">
        <x:v>Calidad</x:v>
      </x:c>
      <x:c r="I308" s="11" t="n">
        <x:v>16</x:v>
      </x:c>
      <x:c r="J308" s="11" t="str">
        <x:v>Cerrada</x:v>
      </x:c>
      <x:c r="K308" s="11" t="str">
        <x:v>Cambio de componente</x:v>
      </x:c>
    </x:row>
    <x:row r="309">
      <x:c r="A309" s="11" t="n">
        <x:v>308</x:v>
      </x:c>
      <x:c r="B309" s="11" t="str">
        <x:v>2026-08-06</x:v>
      </x:c>
      <x:c r="C309" s="11" t="str">
        <x:v>L2</x:v>
      </x:c>
      <x:c r="D309" s="11" t="str">
        <x:v>Envasado B</x:v>
      </x:c>
      <x:c r="E309" s="11" t="str">
        <x:v>Matutino</x:v>
      </x:c>
      <x:c r="F309" s="11" t="str">
        <x:v>CAL</x:v>
      </x:c>
      <x:c r="G309" s="11" t="str">
        <x:v>Ajuste de calidad</x:v>
      </x:c>
      <x:c r="H309" s="11" t="str">
        <x:v>Calidad</x:v>
      </x:c>
      <x:c r="I309" s="11" t="n">
        <x:v>5</x:v>
      </x:c>
      <x:c r="J309" s="11" t="str">
        <x:v>Abierta</x:v>
      </x:c>
      <x:c r="K309" s="11" t="str">
        <x:v>Inspección y liberación</x:v>
      </x:c>
    </x:row>
    <x:row r="310">
      <x:c r="A310" s="11" t="n">
        <x:v>309</x:v>
      </x:c>
      <x:c r="B310" s="11" t="str">
        <x:v>2026-08-06</x:v>
      </x:c>
      <x:c r="C310" s="11" t="str">
        <x:v>L2</x:v>
      </x:c>
      <x:c r="D310" s="11" t="str">
        <x:v>Envasado B</x:v>
      </x:c>
      <x:c r="E310" s="11" t="str">
        <x:v>Vespertino</x:v>
      </x:c>
      <x:c r="F310" s="11" t="str">
        <x:v>ELE</x:v>
      </x:c>
      <x:c r="G310" s="11" t="str">
        <x:v>Falla eléctrica</x:v>
      </x:c>
      <x:c r="H310" s="11" t="str">
        <x:v>Mantenimiento</x:v>
      </x:c>
      <x:c r="I310" s="11" t="n">
        <x:v>39</x:v>
      </x:c>
      <x:c r="J310" s="11" t="str">
        <x:v>Abierta</x:v>
      </x:c>
      <x:c r="K310" s="11" t="str">
        <x:v>Cambio de componente</x:v>
      </x:c>
    </x:row>
    <x:row r="311">
      <x:c r="A311" s="11" t="n">
        <x:v>310</x:v>
      </x:c>
      <x:c r="B311" s="11" t="str">
        <x:v>2026-08-06</x:v>
      </x:c>
      <x:c r="C311" s="11" t="str">
        <x:v>L3</x:v>
      </x:c>
      <x:c r="D311" s="11" t="str">
        <x:v>Empaque</x:v>
      </x:c>
      <x:c r="E311" s="11" t="str">
        <x:v>Matutino</x:v>
      </x:c>
      <x:c r="F311" s="11" t="str">
        <x:v>CAL</x:v>
      </x:c>
      <x:c r="G311" s="11" t="str">
        <x:v>Ajuste de calidad</x:v>
      </x:c>
      <x:c r="H311" s="11" t="str">
        <x:v>Calidad</x:v>
      </x:c>
      <x:c r="I311" s="11" t="n">
        <x:v>13</x:v>
      </x:c>
      <x:c r="J311" s="11" t="str">
        <x:v>Cerrada</x:v>
      </x:c>
      <x:c r="K311" s="11" t="str">
        <x:v>Inspección y liberación</x:v>
      </x:c>
    </x:row>
    <x:row r="312">
      <x:c r="A312" s="11" t="n">
        <x:v>311</x:v>
      </x:c>
      <x:c r="B312" s="11" t="str">
        <x:v>2026-08-06</x:v>
      </x:c>
      <x:c r="C312" s="11" t="str">
        <x:v>L3</x:v>
      </x:c>
      <x:c r="D312" s="11" t="str">
        <x:v>Empaque</x:v>
      </x:c>
      <x:c r="E312" s="11" t="str">
        <x:v>Matutino</x:v>
      </x:c>
      <x:c r="F312" s="11" t="str">
        <x:v>CAL</x:v>
      </x:c>
      <x:c r="G312" s="11" t="str">
        <x:v>Ajuste de calidad</x:v>
      </x:c>
      <x:c r="H312" s="11" t="str">
        <x:v>Calidad</x:v>
      </x:c>
      <x:c r="I312" s="11" t="n">
        <x:v>34</x:v>
      </x:c>
      <x:c r="J312" s="11" t="str">
        <x:v>Abierta</x:v>
      </x:c>
      <x:c r="K312" s="11" t="str">
        <x:v>Reinicio controlado</x:v>
      </x:c>
    </x:row>
    <x:row r="313">
      <x:c r="A313" s="11" t="n">
        <x:v>312</x:v>
      </x:c>
      <x:c r="B313" s="11" t="str">
        <x:v>2026-08-06</x:v>
      </x:c>
      <x:c r="C313" s="11" t="str">
        <x:v>L3</x:v>
      </x:c>
      <x:c r="D313" s="11" t="str">
        <x:v>Empaque</x:v>
      </x:c>
      <x:c r="E313" s="11" t="str">
        <x:v>Vespertino</x:v>
      </x:c>
      <x:c r="F313" s="11" t="str">
        <x:v>MEC</x:v>
      </x:c>
      <x:c r="G313" s="11" t="str">
        <x:v>Falla mecánica</x:v>
      </x:c>
      <x:c r="H313" s="11" t="str">
        <x:v>Mantenimiento</x:v>
      </x:c>
      <x:c r="I313" s="11" t="n">
        <x:v>16</x:v>
      </x:c>
      <x:c r="J313" s="11" t="str">
        <x:v>Cerrada</x:v>
      </x:c>
      <x:c r="K313" s="11" t="str">
        <x:v>Abastecimiento</x:v>
      </x:c>
    </x:row>
    <x:row r="314">
      <x:c r="A314" s="11" t="n">
        <x:v>313</x:v>
      </x:c>
      <x:c r="B314" s="11" t="str">
        <x:v>2026-08-06</x:v>
      </x:c>
      <x:c r="C314" s="11" t="str">
        <x:v>L4</x:v>
      </x:c>
      <x:c r="D314" s="11" t="str">
        <x:v>Etiquetado</x:v>
      </x:c>
      <x:c r="E314" s="11" t="str">
        <x:v>Matutino</x:v>
      </x:c>
      <x:c r="F314" s="11" t="str">
        <x:v>CAL</x:v>
      </x:c>
      <x:c r="G314" s="11" t="str">
        <x:v>Ajuste de calidad</x:v>
      </x:c>
      <x:c r="H314" s="11" t="str">
        <x:v>Calidad</x:v>
      </x:c>
      <x:c r="I314" s="11" t="n">
        <x:v>37</x:v>
      </x:c>
      <x:c r="J314" s="11" t="str">
        <x:v>Cerrada</x:v>
      </x:c>
      <x:c r="K314" s="11" t="str">
        <x:v>Abastecimiento</x:v>
      </x:c>
    </x:row>
    <x:row r="315">
      <x:c r="A315" s="11" t="n">
        <x:v>314</x:v>
      </x:c>
      <x:c r="B315" s="11" t="str">
        <x:v>2026-08-07</x:v>
      </x:c>
      <x:c r="C315" s="11" t="str">
        <x:v>L1</x:v>
      </x:c>
      <x:c r="D315" s="11" t="str">
        <x:v>Envasado A</x:v>
      </x:c>
      <x:c r="E315" s="11" t="str">
        <x:v>Matutino</x:v>
      </x:c>
      <x:c r="F315" s="11" t="str">
        <x:v>ELE</x:v>
      </x:c>
      <x:c r="G315" s="11" t="str">
        <x:v>Falla eléctrica</x:v>
      </x:c>
      <x:c r="H315" s="11" t="str">
        <x:v>Mantenimiento</x:v>
      </x:c>
      <x:c r="I315" s="11" t="n">
        <x:v>8</x:v>
      </x:c>
      <x:c r="J315" s="11" t="str">
        <x:v>Cerrada</x:v>
      </x:c>
      <x:c r="K315" s="11" t="str">
        <x:v>Abastecimiento</x:v>
      </x:c>
    </x:row>
    <x:row r="316">
      <x:c r="A316" s="11" t="n">
        <x:v>315</x:v>
      </x:c>
      <x:c r="B316" s="11" t="str">
        <x:v>2026-08-07</x:v>
      </x:c>
      <x:c r="C316" s="11" t="str">
        <x:v>L2</x:v>
      </x:c>
      <x:c r="D316" s="11" t="str">
        <x:v>Envasado B</x:v>
      </x:c>
      <x:c r="E316" s="11" t="str">
        <x:v>Matutino</x:v>
      </x:c>
      <x:c r="F316" s="11" t="str">
        <x:v>CAL</x:v>
      </x:c>
      <x:c r="G316" s="11" t="str">
        <x:v>Ajuste de calidad</x:v>
      </x:c>
      <x:c r="H316" s="11" t="str">
        <x:v>Calidad</x:v>
      </x:c>
      <x:c r="I316" s="11" t="n">
        <x:v>1</x:v>
      </x:c>
      <x:c r="J316" s="11" t="str">
        <x:v>Cerrada</x:v>
      </x:c>
      <x:c r="K316" s="11" t="str">
        <x:v>Inspección y liberación</x:v>
      </x:c>
    </x:row>
    <x:row r="317">
      <x:c r="A317" s="11" t="n">
        <x:v>316</x:v>
      </x:c>
      <x:c r="B317" s="11" t="str">
        <x:v>2026-08-07</x:v>
      </x:c>
      <x:c r="C317" s="11" t="str">
        <x:v>L2</x:v>
      </x:c>
      <x:c r="D317" s="11" t="str">
        <x:v>Envasado B</x:v>
      </x:c>
      <x:c r="E317" s="11" t="str">
        <x:v>Vespertino</x:v>
      </x:c>
      <x:c r="F317" s="11" t="str">
        <x:v>ELE</x:v>
      </x:c>
      <x:c r="G317" s="11" t="str">
        <x:v>Falla eléctrica</x:v>
      </x:c>
      <x:c r="H317" s="11" t="str">
        <x:v>Mantenimiento</x:v>
      </x:c>
      <x:c r="I317" s="11" t="n">
        <x:v>16</x:v>
      </x:c>
      <x:c r="J317" s="11" t="str">
        <x:v>Cerrada</x:v>
      </x:c>
      <x:c r="K317" s="11" t="str">
        <x:v>Cambio de componente</x:v>
      </x:c>
    </x:row>
    <x:row r="318">
      <x:c r="A318" s="11" t="n">
        <x:v>317</x:v>
      </x:c>
      <x:c r="B318" s="11" t="str">
        <x:v>2026-08-07</x:v>
      </x:c>
      <x:c r="C318" s="11" t="str">
        <x:v>L3</x:v>
      </x:c>
      <x:c r="D318" s="11" t="str">
        <x:v>Empaque</x:v>
      </x:c>
      <x:c r="E318" s="11" t="str">
        <x:v>Matutino</x:v>
      </x:c>
      <x:c r="F318" s="11" t="str">
        <x:v>CAL</x:v>
      </x:c>
      <x:c r="G318" s="11" t="str">
        <x:v>Ajuste de calidad</x:v>
      </x:c>
      <x:c r="H318" s="11" t="str">
        <x:v>Calidad</x:v>
      </x:c>
      <x:c r="I318" s="11" t="n">
        <x:v>22</x:v>
      </x:c>
      <x:c r="J318" s="11" t="str">
        <x:v>Abierta</x:v>
      </x:c>
      <x:c r="K318" s="11" t="str">
        <x:v>Cambio de componente</x:v>
      </x:c>
    </x:row>
    <x:row r="319">
      <x:c r="A319" s="11" t="n">
        <x:v>318</x:v>
      </x:c>
      <x:c r="B319" s="11" t="str">
        <x:v>2026-08-07</x:v>
      </x:c>
      <x:c r="C319" s="11" t="str">
        <x:v>L3</x:v>
      </x:c>
      <x:c r="D319" s="11" t="str">
        <x:v>Empaque</x:v>
      </x:c>
      <x:c r="E319" s="11" t="str">
        <x:v>Matutino</x:v>
      </x:c>
      <x:c r="F319" s="11" t="str">
        <x:v>CAM</x:v>
      </x:c>
      <x:c r="G319" s="11" t="str">
        <x:v>Cambio de formato</x:v>
      </x:c>
      <x:c r="H319" s="11" t="str">
        <x:v>Producción</x:v>
      </x:c>
      <x:c r="I319" s="11" t="n">
        <x:v>44</x:v>
      </x:c>
      <x:c r="J319" s="11" t="str">
        <x:v>Cerrada</x:v>
      </x:c>
      <x:c r="K319" s="11" t="str">
        <x:v>Cambio de componente</x:v>
      </x:c>
    </x:row>
    <x:row r="320">
      <x:c r="A320" s="11" t="n">
        <x:v>319</x:v>
      </x:c>
      <x:c r="B320" s="11" t="str">
        <x:v>2026-08-07</x:v>
      </x:c>
      <x:c r="C320" s="11" t="str">
        <x:v>L3</x:v>
      </x:c>
      <x:c r="D320" s="11" t="str">
        <x:v>Empaque</x:v>
      </x:c>
      <x:c r="E320" s="11" t="str">
        <x:v>Vespertino</x:v>
      </x:c>
      <x:c r="F320" s="11" t="str">
        <x:v>MEC</x:v>
      </x:c>
      <x:c r="G320" s="11" t="str">
        <x:v>Falla mecánica</x:v>
      </x:c>
      <x:c r="H320" s="11" t="str">
        <x:v>Mantenimiento</x:v>
      </x:c>
      <x:c r="I320" s="11" t="n">
        <x:v>4</x:v>
      </x:c>
      <x:c r="J320" s="11" t="str">
        <x:v>Abierta</x:v>
      </x:c>
      <x:c r="K320" s="11" t="str">
        <x:v>Cambio de componente</x:v>
      </x:c>
    </x:row>
    <x:row r="321">
      <x:c r="A321" s="11" t="n">
        <x:v>320</x:v>
      </x:c>
      <x:c r="B321" s="11" t="str">
        <x:v>2026-08-07</x:v>
      </x:c>
      <x:c r="C321" s="11" t="str">
        <x:v>L4</x:v>
      </x:c>
      <x:c r="D321" s="11" t="str">
        <x:v>Etiquetado</x:v>
      </x:c>
      <x:c r="E321" s="11" t="str">
        <x:v>Vespertino</x:v>
      </x:c>
      <x:c r="F321" s="11" t="str">
        <x:v>CAL</x:v>
      </x:c>
      <x:c r="G321" s="11" t="str">
        <x:v>Ajuste de calidad</x:v>
      </x:c>
      <x:c r="H321" s="11" t="str">
        <x:v>Calidad</x:v>
      </x:c>
      <x:c r="I321" s="11" t="n">
        <x:v>12</x:v>
      </x:c>
      <x:c r="J321" s="11" t="str">
        <x:v>Cerrada</x:v>
      </x:c>
      <x:c r="K321" s="11" t="str">
        <x:v>Cambio de componente</x:v>
      </x:c>
    </x:row>
    <x:row r="322">
      <x:c r="A322" s="11" t="n">
        <x:v>321</x:v>
      </x:c>
      <x:c r="B322" s="11" t="str">
        <x:v>2026-08-08</x:v>
      </x:c>
      <x:c r="C322" s="11" t="str">
        <x:v>L1</x:v>
      </x:c>
      <x:c r="D322" s="11" t="str">
        <x:v>Envasado A</x:v>
      </x:c>
      <x:c r="E322" s="11" t="str">
        <x:v>Matutino</x:v>
      </x:c>
      <x:c r="F322" s="11" t="str">
        <x:v>CAL</x:v>
      </x:c>
      <x:c r="G322" s="11" t="str">
        <x:v>Ajuste de calidad</x:v>
      </x:c>
      <x:c r="H322" s="11" t="str">
        <x:v>Calidad</x:v>
      </x:c>
      <x:c r="I322" s="11" t="n">
        <x:v>37</x:v>
      </x:c>
      <x:c r="J322" s="11" t="str">
        <x:v>Abierta</x:v>
      </x:c>
      <x:c r="K322" s="11" t="str">
        <x:v>Cambio de componente</x:v>
      </x:c>
    </x:row>
    <x:row r="323">
      <x:c r="A323" s="11" t="n">
        <x:v>322</x:v>
      </x:c>
      <x:c r="B323" s="11" t="str">
        <x:v>2026-08-08</x:v>
      </x:c>
      <x:c r="C323" s="11" t="str">
        <x:v>L1</x:v>
      </x:c>
      <x:c r="D323" s="11" t="str">
        <x:v>Envasado A</x:v>
      </x:c>
      <x:c r="E323" s="11" t="str">
        <x:v>Vespertino</x:v>
      </x:c>
      <x:c r="F323" s="11" t="str">
        <x:v>CAM</x:v>
      </x:c>
      <x:c r="G323" s="11" t="str">
        <x:v>Cambio de formato</x:v>
      </x:c>
      <x:c r="H323" s="11" t="str">
        <x:v>Producción</x:v>
      </x:c>
      <x:c r="I323" s="11" t="n">
        <x:v>23</x:v>
      </x:c>
      <x:c r="J323" s="11" t="str">
        <x:v>Abierta</x:v>
      </x:c>
      <x:c r="K323" s="11" t="str">
        <x:v>Inspección y liberación</x:v>
      </x:c>
    </x:row>
    <x:row r="324">
      <x:c r="A324" s="11" t="n">
        <x:v>323</x:v>
      </x:c>
      <x:c r="B324" s="11" t="str">
        <x:v>2026-08-08</x:v>
      </x:c>
      <x:c r="C324" s="11" t="str">
        <x:v>L2</x:v>
      </x:c>
      <x:c r="D324" s="11" t="str">
        <x:v>Envasado B</x:v>
      </x:c>
      <x:c r="E324" s="11" t="str">
        <x:v>Vespertino</x:v>
      </x:c>
      <x:c r="F324" s="11" t="str">
        <x:v>MEC</x:v>
      </x:c>
      <x:c r="G324" s="11" t="str">
        <x:v>Falla mecánica</x:v>
      </x:c>
      <x:c r="H324" s="11" t="str">
        <x:v>Mantenimiento</x:v>
      </x:c>
      <x:c r="I324" s="11" t="n">
        <x:v>52</x:v>
      </x:c>
      <x:c r="J324" s="11" t="str">
        <x:v>Cerrada</x:v>
      </x:c>
      <x:c r="K324" s="11" t="str">
        <x:v>Cambio de componente</x:v>
      </x:c>
    </x:row>
    <x:row r="325">
      <x:c r="A325" s="11" t="n">
        <x:v>324</x:v>
      </x:c>
      <x:c r="B325" s="11" t="str">
        <x:v>2026-08-08</x:v>
      </x:c>
      <x:c r="C325" s="11" t="str">
        <x:v>L3</x:v>
      </x:c>
      <x:c r="D325" s="11" t="str">
        <x:v>Empaque</x:v>
      </x:c>
      <x:c r="E325" s="11" t="str">
        <x:v>Matutino</x:v>
      </x:c>
      <x:c r="F325" s="11" t="str">
        <x:v>CAL</x:v>
      </x:c>
      <x:c r="G325" s="11" t="str">
        <x:v>Ajuste de calidad</x:v>
      </x:c>
      <x:c r="H325" s="11" t="str">
        <x:v>Calidad</x:v>
      </x:c>
      <x:c r="I325" s="11" t="n">
        <x:v>14</x:v>
      </x:c>
      <x:c r="J325" s="11" t="str">
        <x:v>Abierta</x:v>
      </x:c>
      <x:c r="K325" s="11" t="str">
        <x:v>Abastecimiento</x:v>
      </x:c>
    </x:row>
    <x:row r="326">
      <x:c r="A326" s="11" t="n">
        <x:v>325</x:v>
      </x:c>
      <x:c r="B326" s="11" t="str">
        <x:v>2026-08-08</x:v>
      </x:c>
      <x:c r="C326" s="11" t="str">
        <x:v>L3</x:v>
      </x:c>
      <x:c r="D326" s="11" t="str">
        <x:v>Empaque</x:v>
      </x:c>
      <x:c r="E326" s="11" t="str">
        <x:v>Vespertino</x:v>
      </x:c>
      <x:c r="F326" s="11" t="str">
        <x:v>CAL</x:v>
      </x:c>
      <x:c r="G326" s="11" t="str">
        <x:v>Ajuste de calidad</x:v>
      </x:c>
      <x:c r="H326" s="11" t="str">
        <x:v>Calidad</x:v>
      </x:c>
      <x:c r="I326" s="11" t="n">
        <x:v>38</x:v>
      </x:c>
      <x:c r="J326" s="11" t="str">
        <x:v>Cerrada</x:v>
      </x:c>
      <x:c r="K326" s="11" t="str">
        <x:v>Reinicio controlado</x:v>
      </x:c>
    </x:row>
    <x:row r="327">
      <x:c r="A327" s="11" t="n">
        <x:v>326</x:v>
      </x:c>
      <x:c r="B327" s="11" t="str">
        <x:v>2026-08-08</x:v>
      </x:c>
      <x:c r="C327" s="11" t="str">
        <x:v>L4</x:v>
      </x:c>
      <x:c r="D327" s="11" t="str">
        <x:v>Etiquetado</x:v>
      </x:c>
      <x:c r="E327" s="11" t="str">
        <x:v>Matutino</x:v>
      </x:c>
      <x:c r="F327" s="11" t="str">
        <x:v>MEC</x:v>
      </x:c>
      <x:c r="G327" s="11" t="str">
        <x:v>Falla mecánica</x:v>
      </x:c>
      <x:c r="H327" s="11" t="str">
        <x:v>Mantenimiento</x:v>
      </x:c>
      <x:c r="I327" s="11" t="n">
        <x:v>44</x:v>
      </x:c>
      <x:c r="J327" s="11" t="str">
        <x:v>Cerrada</x:v>
      </x:c>
      <x:c r="K327" s="11" t="str">
        <x:v>Cambio de componente</x:v>
      </x:c>
    </x:row>
    <x:row r="328">
      <x:c r="A328" s="11" t="n">
        <x:v>327</x:v>
      </x:c>
      <x:c r="B328" s="11" t="str">
        <x:v>2026-08-08</x:v>
      </x:c>
      <x:c r="C328" s="11" t="str">
        <x:v>L4</x:v>
      </x:c>
      <x:c r="D328" s="11" t="str">
        <x:v>Etiquetado</x:v>
      </x:c>
      <x:c r="E328" s="11" t="str">
        <x:v>Vespertino</x:v>
      </x:c>
      <x:c r="F328" s="11" t="str">
        <x:v>CAM</x:v>
      </x:c>
      <x:c r="G328" s="11" t="str">
        <x:v>Cambio de formato</x:v>
      </x:c>
      <x:c r="H328" s="11" t="str">
        <x:v>Producción</x:v>
      </x:c>
      <x:c r="I328" s="11" t="n">
        <x:v>1</x:v>
      </x:c>
      <x:c r="J328" s="11" t="str">
        <x:v>Cerrada</x:v>
      </x:c>
      <x:c r="K328" s="11" t="str">
        <x:v>Reinicio controlado</x:v>
      </x:c>
    </x:row>
    <x:row r="329">
      <x:c r="A329" s="11" t="n">
        <x:v>328</x:v>
      </x:c>
      <x:c r="B329" s="11" t="str">
        <x:v>2026-08-09</x:v>
      </x:c>
      <x:c r="C329" s="11" t="str">
        <x:v>L1</x:v>
      </x:c>
      <x:c r="D329" s="11" t="str">
        <x:v>Envasado A</x:v>
      </x:c>
      <x:c r="E329" s="11" t="str">
        <x:v>Matutino</x:v>
      </x:c>
      <x:c r="F329" s="11" t="str">
        <x:v>CAL</x:v>
      </x:c>
      <x:c r="G329" s="11" t="str">
        <x:v>Ajuste de calidad</x:v>
      </x:c>
      <x:c r="H329" s="11" t="str">
        <x:v>Calidad</x:v>
      </x:c>
      <x:c r="I329" s="11" t="n">
        <x:v>15</x:v>
      </x:c>
      <x:c r="J329" s="11" t="str">
        <x:v>Abierta</x:v>
      </x:c>
      <x:c r="K329" s="11" t="str">
        <x:v>Abastecimiento</x:v>
      </x:c>
    </x:row>
    <x:row r="330">
      <x:c r="A330" s="11" t="n">
        <x:v>329</x:v>
      </x:c>
      <x:c r="B330" s="11" t="str">
        <x:v>2026-08-09</x:v>
      </x:c>
      <x:c r="C330" s="11" t="str">
        <x:v>L1</x:v>
      </x:c>
      <x:c r="D330" s="11" t="str">
        <x:v>Envasado A</x:v>
      </x:c>
      <x:c r="E330" s="11" t="str">
        <x:v>Vespertino</x:v>
      </x:c>
      <x:c r="F330" s="11" t="str">
        <x:v>CAM</x:v>
      </x:c>
      <x:c r="G330" s="11" t="str">
        <x:v>Cambio de formato</x:v>
      </x:c>
      <x:c r="H330" s="11" t="str">
        <x:v>Producción</x:v>
      </x:c>
      <x:c r="I330" s="11" t="n">
        <x:v>16</x:v>
      </x:c>
      <x:c r="J330" s="11" t="str">
        <x:v>Cerrada</x:v>
      </x:c>
      <x:c r="K330" s="11" t="str">
        <x:v>Ajuste y prueba</x:v>
      </x:c>
    </x:row>
    <x:row r="331">
      <x:c r="A331" s="11" t="n">
        <x:v>330</x:v>
      </x:c>
      <x:c r="B331" s="11" t="str">
        <x:v>2026-08-09</x:v>
      </x:c>
      <x:c r="C331" s="11" t="str">
        <x:v>L1</x:v>
      </x:c>
      <x:c r="D331" s="11" t="str">
        <x:v>Envasado A</x:v>
      </x:c>
      <x:c r="E331" s="11" t="str">
        <x:v>Vespertino</x:v>
      </x:c>
      <x:c r="F331" s="11" t="str">
        <x:v>MAT</x:v>
      </x:c>
      <x:c r="G331" s="11" t="str">
        <x:v>Falta de material</x:v>
      </x:c>
      <x:c r="H331" s="11" t="str">
        <x:v>Logística</x:v>
      </x:c>
      <x:c r="I331" s="11" t="n">
        <x:v>36</x:v>
      </x:c>
      <x:c r="J331" s="11" t="str">
        <x:v>Cerrada</x:v>
      </x:c>
      <x:c r="K331" s="11" t="str">
        <x:v>Reinicio controlado</x:v>
      </x:c>
    </x:row>
    <x:row r="332">
      <x:c r="A332" s="11" t="n">
        <x:v>331</x:v>
      </x:c>
      <x:c r="B332" s="11" t="str">
        <x:v>2026-08-09</x:v>
      </x:c>
      <x:c r="C332" s="11" t="str">
        <x:v>L2</x:v>
      </x:c>
      <x:c r="D332" s="11" t="str">
        <x:v>Envasado B</x:v>
      </x:c>
      <x:c r="E332" s="11" t="str">
        <x:v>Matutino</x:v>
      </x:c>
      <x:c r="F332" s="11" t="str">
        <x:v>MEC</x:v>
      </x:c>
      <x:c r="G332" s="11" t="str">
        <x:v>Falla mecánica</x:v>
      </x:c>
      <x:c r="H332" s="11" t="str">
        <x:v>Mantenimiento</x:v>
      </x:c>
      <x:c r="I332" s="11" t="n">
        <x:v>8</x:v>
      </x:c>
      <x:c r="J332" s="11" t="str">
        <x:v>Abierta</x:v>
      </x:c>
      <x:c r="K332" s="11" t="str">
        <x:v>Inspección y liberación</x:v>
      </x:c>
    </x:row>
    <x:row r="333">
      <x:c r="A333" s="11" t="n">
        <x:v>332</x:v>
      </x:c>
      <x:c r="B333" s="11" t="str">
        <x:v>2026-08-09</x:v>
      </x:c>
      <x:c r="C333" s="11" t="str">
        <x:v>L2</x:v>
      </x:c>
      <x:c r="D333" s="11" t="str">
        <x:v>Envasado B</x:v>
      </x:c>
      <x:c r="E333" s="11" t="str">
        <x:v>Matutino</x:v>
      </x:c>
      <x:c r="F333" s="11" t="str">
        <x:v>MEC</x:v>
      </x:c>
      <x:c r="G333" s="11" t="str">
        <x:v>Falla mecánica</x:v>
      </x:c>
      <x:c r="H333" s="11" t="str">
        <x:v>Mantenimiento</x:v>
      </x:c>
      <x:c r="I333" s="11" t="n">
        <x:v>38</x:v>
      </x:c>
      <x:c r="J333" s="11" t="str">
        <x:v>Cerrada</x:v>
      </x:c>
      <x:c r="K333" s="11" t="str">
        <x:v>Cambio de componente</x:v>
      </x:c>
    </x:row>
    <x:row r="334">
      <x:c r="A334" s="11" t="n">
        <x:v>333</x:v>
      </x:c>
      <x:c r="B334" s="11" t="str">
        <x:v>2026-08-09</x:v>
      </x:c>
      <x:c r="C334" s="11" t="str">
        <x:v>L2</x:v>
      </x:c>
      <x:c r="D334" s="11" t="str">
        <x:v>Envasado B</x:v>
      </x:c>
      <x:c r="E334" s="11" t="str">
        <x:v>Vespertino</x:v>
      </x:c>
      <x:c r="F334" s="11" t="str">
        <x:v>MAT</x:v>
      </x:c>
      <x:c r="G334" s="11" t="str">
        <x:v>Falta de material</x:v>
      </x:c>
      <x:c r="H334" s="11" t="str">
        <x:v>Logística</x:v>
      </x:c>
      <x:c r="I334" s="11" t="n">
        <x:v>21</x:v>
      </x:c>
      <x:c r="J334" s="11" t="str">
        <x:v>Cerrada</x:v>
      </x:c>
      <x:c r="K334" s="11" t="str">
        <x:v>Reinicio controlado</x:v>
      </x:c>
    </x:row>
    <x:row r="335">
      <x:c r="A335" s="11" t="n">
        <x:v>334</x:v>
      </x:c>
      <x:c r="B335" s="11" t="str">
        <x:v>2026-08-10</x:v>
      </x:c>
      <x:c r="C335" s="11" t="str">
        <x:v>L1</x:v>
      </x:c>
      <x:c r="D335" s="11" t="str">
        <x:v>Envasado A</x:v>
      </x:c>
      <x:c r="E335" s="11" t="str">
        <x:v>Matutino</x:v>
      </x:c>
      <x:c r="F335" s="11" t="str">
        <x:v>MEC</x:v>
      </x:c>
      <x:c r="G335" s="11" t="str">
        <x:v>Falla mecánica</x:v>
      </x:c>
      <x:c r="H335" s="11" t="str">
        <x:v>Mantenimiento</x:v>
      </x:c>
      <x:c r="I335" s="11" t="n">
        <x:v>33</x:v>
      </x:c>
      <x:c r="J335" s="11" t="str">
        <x:v>Cerrada</x:v>
      </x:c>
      <x:c r="K335" s="11" t="str">
        <x:v>Abastecimiento</x:v>
      </x:c>
    </x:row>
    <x:row r="336">
      <x:c r="A336" s="11" t="n">
        <x:v>335</x:v>
      </x:c>
      <x:c r="B336" s="11" t="str">
        <x:v>2026-08-10</x:v>
      </x:c>
      <x:c r="C336" s="11" t="str">
        <x:v>L2</x:v>
      </x:c>
      <x:c r="D336" s="11" t="str">
        <x:v>Envasado B</x:v>
      </x:c>
      <x:c r="E336" s="11" t="str">
        <x:v>Matutino</x:v>
      </x:c>
      <x:c r="F336" s="11" t="str">
        <x:v>CAL</x:v>
      </x:c>
      <x:c r="G336" s="11" t="str">
        <x:v>Ajuste de calidad</x:v>
      </x:c>
      <x:c r="H336" s="11" t="str">
        <x:v>Calidad</x:v>
      </x:c>
      <x:c r="I336" s="11" t="n">
        <x:v>17</x:v>
      </x:c>
      <x:c r="J336" s="11" t="str">
        <x:v>Cerrada</x:v>
      </x:c>
      <x:c r="K336" s="11" t="str">
        <x:v>Reinicio controlado</x:v>
      </x:c>
    </x:row>
    <x:row r="337">
      <x:c r="A337" s="11" t="n">
        <x:v>336</x:v>
      </x:c>
      <x:c r="B337" s="11" t="str">
        <x:v>2026-08-10</x:v>
      </x:c>
      <x:c r="C337" s="11" t="str">
        <x:v>L2</x:v>
      </x:c>
      <x:c r="D337" s="11" t="str">
        <x:v>Envasado B</x:v>
      </x:c>
      <x:c r="E337" s="11" t="str">
        <x:v>Vespertino</x:v>
      </x:c>
      <x:c r="F337" s="11" t="str">
        <x:v>MAT</x:v>
      </x:c>
      <x:c r="G337" s="11" t="str">
        <x:v>Falta de material</x:v>
      </x:c>
      <x:c r="H337" s="11" t="str">
        <x:v>Logística</x:v>
      </x:c>
      <x:c r="I337" s="11" t="n">
        <x:v>26</x:v>
      </x:c>
      <x:c r="J337" s="11" t="str">
        <x:v>Cerrada</x:v>
      </x:c>
      <x:c r="K337" s="11" t="str">
        <x:v>Abastecimiento</x:v>
      </x:c>
    </x:row>
    <x:row r="338">
      <x:c r="A338" s="11" t="n">
        <x:v>337</x:v>
      </x:c>
      <x:c r="B338" s="11" t="str">
        <x:v>2026-08-10</x:v>
      </x:c>
      <x:c r="C338" s="11" t="str">
        <x:v>L2</x:v>
      </x:c>
      <x:c r="D338" s="11" t="str">
        <x:v>Envasado B</x:v>
      </x:c>
      <x:c r="E338" s="11" t="str">
        <x:v>Vespertino</x:v>
      </x:c>
      <x:c r="F338" s="11" t="str">
        <x:v>ELE</x:v>
      </x:c>
      <x:c r="G338" s="11" t="str">
        <x:v>Falla eléctrica</x:v>
      </x:c>
      <x:c r="H338" s="11" t="str">
        <x:v>Mantenimiento</x:v>
      </x:c>
      <x:c r="I338" s="11" t="n">
        <x:v>27</x:v>
      </x:c>
      <x:c r="J338" s="11" t="str">
        <x:v>Cerrada</x:v>
      </x:c>
      <x:c r="K338" s="11" t="str">
        <x:v>Inspección y liberación</x:v>
      </x:c>
    </x:row>
    <x:row r="339">
      <x:c r="A339" s="11" t="n">
        <x:v>338</x:v>
      </x:c>
      <x:c r="B339" s="11" t="str">
        <x:v>2026-08-10</x:v>
      </x:c>
      <x:c r="C339" s="11" t="str">
        <x:v>L2</x:v>
      </x:c>
      <x:c r="D339" s="11" t="str">
        <x:v>Envasado B</x:v>
      </x:c>
      <x:c r="E339" s="11" t="str">
        <x:v>Vespertino</x:v>
      </x:c>
      <x:c r="F339" s="11" t="str">
        <x:v>CAL</x:v>
      </x:c>
      <x:c r="G339" s="11" t="str">
        <x:v>Ajuste de calidad</x:v>
      </x:c>
      <x:c r="H339" s="11" t="str">
        <x:v>Calidad</x:v>
      </x:c>
      <x:c r="I339" s="11" t="n">
        <x:v>5</x:v>
      </x:c>
      <x:c r="J339" s="11" t="str">
        <x:v>Cerrada</x:v>
      </x:c>
      <x:c r="K339" s="11" t="str">
        <x:v>Cambio de componente</x:v>
      </x:c>
    </x:row>
    <x:row r="340">
      <x:c r="A340" s="11" t="n">
        <x:v>339</x:v>
      </x:c>
      <x:c r="B340" s="11" t="str">
        <x:v>2026-08-10</x:v>
      </x:c>
      <x:c r="C340" s="11" t="str">
        <x:v>L3</x:v>
      </x:c>
      <x:c r="D340" s="11" t="str">
        <x:v>Empaque</x:v>
      </x:c>
      <x:c r="E340" s="11" t="str">
        <x:v>Matutino</x:v>
      </x:c>
      <x:c r="F340" s="11" t="str">
        <x:v>CAL</x:v>
      </x:c>
      <x:c r="G340" s="11" t="str">
        <x:v>Ajuste de calidad</x:v>
      </x:c>
      <x:c r="H340" s="11" t="str">
        <x:v>Calidad</x:v>
      </x:c>
      <x:c r="I340" s="11" t="n">
        <x:v>25</x:v>
      </x:c>
      <x:c r="J340" s="11" t="str">
        <x:v>Cerrada</x:v>
      </x:c>
      <x:c r="K340" s="11" t="str">
        <x:v>Reinicio controlado</x:v>
      </x:c>
    </x:row>
    <x:row r="341">
      <x:c r="A341" s="11" t="n">
        <x:v>340</x:v>
      </x:c>
      <x:c r="B341" s="11" t="str">
        <x:v>2026-08-10</x:v>
      </x:c>
      <x:c r="C341" s="11" t="str">
        <x:v>L3</x:v>
      </x:c>
      <x:c r="D341" s="11" t="str">
        <x:v>Empaque</x:v>
      </x:c>
      <x:c r="E341" s="11" t="str">
        <x:v>Matutino</x:v>
      </x:c>
      <x:c r="F341" s="11" t="str">
        <x:v>MAT</x:v>
      </x:c>
      <x:c r="G341" s="11" t="str">
        <x:v>Falta de material</x:v>
      </x:c>
      <x:c r="H341" s="11" t="str">
        <x:v>Logística</x:v>
      </x:c>
      <x:c r="I341" s="11" t="n">
        <x:v>32</x:v>
      </x:c>
      <x:c r="J341" s="11" t="str">
        <x:v>Cerrada</x:v>
      </x:c>
      <x:c r="K341" s="11" t="str">
        <x:v>Abastecimiento</x:v>
      </x:c>
    </x:row>
    <x:row r="342">
      <x:c r="A342" s="11" t="n">
        <x:v>341</x:v>
      </x:c>
      <x:c r="B342" s="11" t="str">
        <x:v>2026-08-10</x:v>
      </x:c>
      <x:c r="C342" s="11" t="str">
        <x:v>L4</x:v>
      </x:c>
      <x:c r="D342" s="11" t="str">
        <x:v>Etiquetado</x:v>
      </x:c>
      <x:c r="E342" s="11" t="str">
        <x:v>Vespertino</x:v>
      </x:c>
      <x:c r="F342" s="11" t="str">
        <x:v>ELE</x:v>
      </x:c>
      <x:c r="G342" s="11" t="str">
        <x:v>Falla eléctrica</x:v>
      </x:c>
      <x:c r="H342" s="11" t="str">
        <x:v>Mantenimiento</x:v>
      </x:c>
      <x:c r="I342" s="11" t="n">
        <x:v>25</x:v>
      </x:c>
      <x:c r="J342" s="11" t="str">
        <x:v>Abierta</x:v>
      </x:c>
      <x:c r="K342" s="11" t="str">
        <x:v>Cambio de componente</x:v>
      </x:c>
    </x:row>
    <x:row r="343">
      <x:c r="A343" s="11" t="n">
        <x:v>342</x:v>
      </x:c>
      <x:c r="B343" s="11" t="str">
        <x:v>2026-08-11</x:v>
      </x:c>
      <x:c r="C343" s="11" t="str">
        <x:v>L1</x:v>
      </x:c>
      <x:c r="D343" s="11" t="str">
        <x:v>Envasado A</x:v>
      </x:c>
      <x:c r="E343" s="11" t="str">
        <x:v>Matutino</x:v>
      </x:c>
      <x:c r="F343" s="11" t="str">
        <x:v>CAM</x:v>
      </x:c>
      <x:c r="G343" s="11" t="str">
        <x:v>Cambio de formato</x:v>
      </x:c>
      <x:c r="H343" s="11" t="str">
        <x:v>Producción</x:v>
      </x:c>
      <x:c r="I343" s="11" t="n">
        <x:v>31</x:v>
      </x:c>
      <x:c r="J343" s="11" t="str">
        <x:v>Cerrada</x:v>
      </x:c>
      <x:c r="K343" s="11" t="str">
        <x:v>Ajuste y prueba</x:v>
      </x:c>
    </x:row>
    <x:row r="344">
      <x:c r="A344" s="11" t="n">
        <x:v>343</x:v>
      </x:c>
      <x:c r="B344" s="11" t="str">
        <x:v>2026-08-11</x:v>
      </x:c>
      <x:c r="C344" s="11" t="str">
        <x:v>L1</x:v>
      </x:c>
      <x:c r="D344" s="11" t="str">
        <x:v>Envasado A</x:v>
      </x:c>
      <x:c r="E344" s="11" t="str">
        <x:v>Vespertino</x:v>
      </x:c>
      <x:c r="F344" s="11" t="str">
        <x:v>CAM</x:v>
      </x:c>
      <x:c r="G344" s="11" t="str">
        <x:v>Cambio de formato</x:v>
      </x:c>
      <x:c r="H344" s="11" t="str">
        <x:v>Producción</x:v>
      </x:c>
      <x:c r="I344" s="11" t="n">
        <x:v>24</x:v>
      </x:c>
      <x:c r="J344" s="11" t="str">
        <x:v>Cerrada</x:v>
      </x:c>
      <x:c r="K344" s="11" t="str">
        <x:v>Inspección y liberación</x:v>
      </x:c>
    </x:row>
    <x:row r="345">
      <x:c r="A345" s="11" t="n">
        <x:v>344</x:v>
      </x:c>
      <x:c r="B345" s="11" t="str">
        <x:v>2026-08-11</x:v>
      </x:c>
      <x:c r="C345" s="11" t="str">
        <x:v>L1</x:v>
      </x:c>
      <x:c r="D345" s="11" t="str">
        <x:v>Envasado A</x:v>
      </x:c>
      <x:c r="E345" s="11" t="str">
        <x:v>Vespertino</x:v>
      </x:c>
      <x:c r="F345" s="11" t="str">
        <x:v>CAL</x:v>
      </x:c>
      <x:c r="G345" s="11" t="str">
        <x:v>Ajuste de calidad</x:v>
      </x:c>
      <x:c r="H345" s="11" t="str">
        <x:v>Calidad</x:v>
      </x:c>
      <x:c r="I345" s="11" t="n">
        <x:v>35</x:v>
      </x:c>
      <x:c r="J345" s="11" t="str">
        <x:v>Abierta</x:v>
      </x:c>
      <x:c r="K345" s="11" t="str">
        <x:v>Cambio de componente</x:v>
      </x:c>
    </x:row>
    <x:row r="346">
      <x:c r="A346" s="11" t="n">
        <x:v>345</x:v>
      </x:c>
      <x:c r="B346" s="11" t="str">
        <x:v>2026-08-11</x:v>
      </x:c>
      <x:c r="C346" s="11" t="str">
        <x:v>L2</x:v>
      </x:c>
      <x:c r="D346" s="11" t="str">
        <x:v>Envasado B</x:v>
      </x:c>
      <x:c r="E346" s="11" t="str">
        <x:v>Matutino</x:v>
      </x:c>
      <x:c r="F346" s="11" t="str">
        <x:v>CAM</x:v>
      </x:c>
      <x:c r="G346" s="11" t="str">
        <x:v>Cambio de formato</x:v>
      </x:c>
      <x:c r="H346" s="11" t="str">
        <x:v>Producción</x:v>
      </x:c>
      <x:c r="I346" s="11" t="n">
        <x:v>19</x:v>
      </x:c>
      <x:c r="J346" s="11" t="str">
        <x:v>Abierta</x:v>
      </x:c>
      <x:c r="K346" s="11" t="str">
        <x:v>Ajuste y prueba</x:v>
      </x:c>
    </x:row>
    <x:row r="347">
      <x:c r="A347" s="11" t="n">
        <x:v>346</x:v>
      </x:c>
      <x:c r="B347" s="11" t="str">
        <x:v>2026-08-11</x:v>
      </x:c>
      <x:c r="C347" s="11" t="str">
        <x:v>L2</x:v>
      </x:c>
      <x:c r="D347" s="11" t="str">
        <x:v>Envasado B</x:v>
      </x:c>
      <x:c r="E347" s="11" t="str">
        <x:v>Vespertino</x:v>
      </x:c>
      <x:c r="F347" s="11" t="str">
        <x:v>CAL</x:v>
      </x:c>
      <x:c r="G347" s="11" t="str">
        <x:v>Ajuste de calidad</x:v>
      </x:c>
      <x:c r="H347" s="11" t="str">
        <x:v>Calidad</x:v>
      </x:c>
      <x:c r="I347" s="11" t="n">
        <x:v>23</x:v>
      </x:c>
      <x:c r="J347" s="11" t="str">
        <x:v>Cerrada</x:v>
      </x:c>
      <x:c r="K347" s="11" t="str">
        <x:v>Ajuste y prueba</x:v>
      </x:c>
    </x:row>
    <x:row r="348">
      <x:c r="A348" s="11" t="n">
        <x:v>347</x:v>
      </x:c>
      <x:c r="B348" s="11" t="str">
        <x:v>2026-08-11</x:v>
      </x:c>
      <x:c r="C348" s="11" t="str">
        <x:v>L2</x:v>
      </x:c>
      <x:c r="D348" s="11" t="str">
        <x:v>Envasado B</x:v>
      </x:c>
      <x:c r="E348" s="11" t="str">
        <x:v>Vespertino</x:v>
      </x:c>
      <x:c r="F348" s="11" t="str">
        <x:v>MEC</x:v>
      </x:c>
      <x:c r="G348" s="11" t="str">
        <x:v>Falla mecánica</x:v>
      </x:c>
      <x:c r="H348" s="11" t="str">
        <x:v>Mantenimiento</x:v>
      </x:c>
      <x:c r="I348" s="11" t="n">
        <x:v>52</x:v>
      </x:c>
      <x:c r="J348" s="11" t="str">
        <x:v>Cerrada</x:v>
      </x:c>
      <x:c r="K348" s="11" t="str">
        <x:v>Cambio de componente</x:v>
      </x:c>
    </x:row>
    <x:row r="349">
      <x:c r="A349" s="11" t="n">
        <x:v>348</x:v>
      </x:c>
      <x:c r="B349" s="11" t="str">
        <x:v>2026-08-11</x:v>
      </x:c>
      <x:c r="C349" s="11" t="str">
        <x:v>L3</x:v>
      </x:c>
      <x:c r="D349" s="11" t="str">
        <x:v>Empaque</x:v>
      </x:c>
      <x:c r="E349" s="11" t="str">
        <x:v>Matutino</x:v>
      </x:c>
      <x:c r="F349" s="11" t="str">
        <x:v>CAL</x:v>
      </x:c>
      <x:c r="G349" s="11" t="str">
        <x:v>Ajuste de calidad</x:v>
      </x:c>
      <x:c r="H349" s="11" t="str">
        <x:v>Calidad</x:v>
      </x:c>
      <x:c r="I349" s="11" t="n">
        <x:v>10</x:v>
      </x:c>
      <x:c r="J349" s="11" t="str">
        <x:v>Abierta</x:v>
      </x:c>
      <x:c r="K349" s="11" t="str">
        <x:v>Abastecimiento</x:v>
      </x:c>
    </x:row>
    <x:row r="350">
      <x:c r="A350" s="11" t="n">
        <x:v>349</x:v>
      </x:c>
      <x:c r="B350" s="11" t="str">
        <x:v>2026-08-11</x:v>
      </x:c>
      <x:c r="C350" s="11" t="str">
        <x:v>L3</x:v>
      </x:c>
      <x:c r="D350" s="11" t="str">
        <x:v>Empaque</x:v>
      </x:c>
      <x:c r="E350" s="11" t="str">
        <x:v>Matutino</x:v>
      </x:c>
      <x:c r="F350" s="11" t="str">
        <x:v>CAM</x:v>
      </x:c>
      <x:c r="G350" s="11" t="str">
        <x:v>Cambio de formato</x:v>
      </x:c>
      <x:c r="H350" s="11" t="str">
        <x:v>Producción</x:v>
      </x:c>
      <x:c r="I350" s="11" t="n">
        <x:v>38</x:v>
      </x:c>
      <x:c r="J350" s="11" t="str">
        <x:v>Cerrada</x:v>
      </x:c>
      <x:c r="K350" s="11" t="str">
        <x:v>Inspección y liberación</x:v>
      </x:c>
    </x:row>
    <x:row r="351">
      <x:c r="A351" s="11" t="n">
        <x:v>350</x:v>
      </x:c>
      <x:c r="B351" s="11" t="str">
        <x:v>2026-08-11</x:v>
      </x:c>
      <x:c r="C351" s="11" t="str">
        <x:v>L3</x:v>
      </x:c>
      <x:c r="D351" s="11" t="str">
        <x:v>Empaque</x:v>
      </x:c>
      <x:c r="E351" s="11" t="str">
        <x:v>Vespertino</x:v>
      </x:c>
      <x:c r="F351" s="11" t="str">
        <x:v>MEC</x:v>
      </x:c>
      <x:c r="G351" s="11" t="str">
        <x:v>Falla mecánica</x:v>
      </x:c>
      <x:c r="H351" s="11" t="str">
        <x:v>Mantenimiento</x:v>
      </x:c>
      <x:c r="I351" s="11" t="n">
        <x:v>40</x:v>
      </x:c>
      <x:c r="J351" s="11" t="str">
        <x:v>Cerrada</x:v>
      </x:c>
      <x:c r="K351" s="11" t="str">
        <x:v>Abastecimiento</x:v>
      </x:c>
    </x:row>
    <x:row r="352">
      <x:c r="A352" s="11" t="n">
        <x:v>351</x:v>
      </x:c>
      <x:c r="B352" s="11" t="str">
        <x:v>2026-08-11</x:v>
      </x:c>
      <x:c r="C352" s="11" t="str">
        <x:v>L4</x:v>
      </x:c>
      <x:c r="D352" s="11" t="str">
        <x:v>Etiquetado</x:v>
      </x:c>
      <x:c r="E352" s="11" t="str">
        <x:v>Matutino</x:v>
      </x:c>
      <x:c r="F352" s="11" t="str">
        <x:v>CAM</x:v>
      </x:c>
      <x:c r="G352" s="11" t="str">
        <x:v>Cambio de formato</x:v>
      </x:c>
      <x:c r="H352" s="11" t="str">
        <x:v>Producción</x:v>
      </x:c>
      <x:c r="I352" s="11" t="n">
        <x:v>21</x:v>
      </x:c>
      <x:c r="J352" s="11" t="str">
        <x:v>Abierta</x:v>
      </x:c>
      <x:c r="K352" s="11" t="str">
        <x:v>Cambio de componente</x:v>
      </x:c>
    </x:row>
    <x:row r="353">
      <x:c r="A353" s="11" t="n">
        <x:v>352</x:v>
      </x:c>
      <x:c r="B353" s="11" t="str">
        <x:v>2026-08-11</x:v>
      </x:c>
      <x:c r="C353" s="11" t="str">
        <x:v>L4</x:v>
      </x:c>
      <x:c r="D353" s="11" t="str">
        <x:v>Etiquetado</x:v>
      </x:c>
      <x:c r="E353" s="11" t="str">
        <x:v>Vespertino</x:v>
      </x:c>
      <x:c r="F353" s="11" t="str">
        <x:v>CAL</x:v>
      </x:c>
      <x:c r="G353" s="11" t="str">
        <x:v>Ajuste de calidad</x:v>
      </x:c>
      <x:c r="H353" s="11" t="str">
        <x:v>Calidad</x:v>
      </x:c>
      <x:c r="I353" s="11" t="n">
        <x:v>39</x:v>
      </x:c>
      <x:c r="J353" s="11" t="str">
        <x:v>Cerrada</x:v>
      </x:c>
      <x:c r="K353" s="11" t="str">
        <x:v>Cambio de componente</x:v>
      </x:c>
    </x:row>
    <x:row r="354">
      <x:c r="A354" s="11" t="n">
        <x:v>353</x:v>
      </x:c>
      <x:c r="B354" s="11" t="str">
        <x:v>2026-08-12</x:v>
      </x:c>
      <x:c r="C354" s="11" t="str">
        <x:v>L1</x:v>
      </x:c>
      <x:c r="D354" s="11" t="str">
        <x:v>Envasado A</x:v>
      </x:c>
      <x:c r="E354" s="11" t="str">
        <x:v>Matutino</x:v>
      </x:c>
      <x:c r="F354" s="11" t="str">
        <x:v>MEC</x:v>
      </x:c>
      <x:c r="G354" s="11" t="str">
        <x:v>Falla mecánica</x:v>
      </x:c>
      <x:c r="H354" s="11" t="str">
        <x:v>Mantenimiento</x:v>
      </x:c>
      <x:c r="I354" s="11" t="n">
        <x:v>31</x:v>
      </x:c>
      <x:c r="J354" s="11" t="str">
        <x:v>Cerrada</x:v>
      </x:c>
      <x:c r="K354" s="11" t="str">
        <x:v>Inspección y liberación</x:v>
      </x:c>
    </x:row>
    <x:row r="355">
      <x:c r="A355" s="11" t="n">
        <x:v>354</x:v>
      </x:c>
      <x:c r="B355" s="11" t="str">
        <x:v>2026-08-12</x:v>
      </x:c>
      <x:c r="C355" s="11" t="str">
        <x:v>L1</x:v>
      </x:c>
      <x:c r="D355" s="11" t="str">
        <x:v>Envasado A</x:v>
      </x:c>
      <x:c r="E355" s="11" t="str">
        <x:v>Vespertino</x:v>
      </x:c>
      <x:c r="F355" s="11" t="str">
        <x:v>ELE</x:v>
      </x:c>
      <x:c r="G355" s="11" t="str">
        <x:v>Falla eléctrica</x:v>
      </x:c>
      <x:c r="H355" s="11" t="str">
        <x:v>Mantenimiento</x:v>
      </x:c>
      <x:c r="I355" s="11" t="n">
        <x:v>40</x:v>
      </x:c>
      <x:c r="J355" s="11" t="str">
        <x:v>Abierta</x:v>
      </x:c>
      <x:c r="K355" s="11" t="str">
        <x:v>Reinicio controlado</x:v>
      </x:c>
    </x:row>
    <x:row r="356">
      <x:c r="A356" s="11" t="n">
        <x:v>355</x:v>
      </x:c>
      <x:c r="B356" s="11" t="str">
        <x:v>2026-08-12</x:v>
      </x:c>
      <x:c r="C356" s="11" t="str">
        <x:v>L2</x:v>
      </x:c>
      <x:c r="D356" s="11" t="str">
        <x:v>Envasado B</x:v>
      </x:c>
      <x:c r="E356" s="11" t="str">
        <x:v>Matutino</x:v>
      </x:c>
      <x:c r="F356" s="11" t="str">
        <x:v>ELE</x:v>
      </x:c>
      <x:c r="G356" s="11" t="str">
        <x:v>Falla eléctrica</x:v>
      </x:c>
      <x:c r="H356" s="11" t="str">
        <x:v>Mantenimiento</x:v>
      </x:c>
      <x:c r="I356" s="11" t="n">
        <x:v>25</x:v>
      </x:c>
      <x:c r="J356" s="11" t="str">
        <x:v>Abierta</x:v>
      </x:c>
      <x:c r="K356" s="11" t="str">
        <x:v>Cambio de componente</x:v>
      </x:c>
    </x:row>
    <x:row r="357">
      <x:c r="A357" s="11" t="n">
        <x:v>356</x:v>
      </x:c>
      <x:c r="B357" s="11" t="str">
        <x:v>2026-08-12</x:v>
      </x:c>
      <x:c r="C357" s="11" t="str">
        <x:v>L2</x:v>
      </x:c>
      <x:c r="D357" s="11" t="str">
        <x:v>Envasado B</x:v>
      </x:c>
      <x:c r="E357" s="11" t="str">
        <x:v>Vespertino</x:v>
      </x:c>
      <x:c r="F357" s="11" t="str">
        <x:v>MAT</x:v>
      </x:c>
      <x:c r="G357" s="11" t="str">
        <x:v>Falta de material</x:v>
      </x:c>
      <x:c r="H357" s="11" t="str">
        <x:v>Logística</x:v>
      </x:c>
      <x:c r="I357" s="11" t="n">
        <x:v>46</x:v>
      </x:c>
      <x:c r="J357" s="11" t="str">
        <x:v>Cerrada</x:v>
      </x:c>
      <x:c r="K357" s="11" t="str">
        <x:v>Reinicio controlado</x:v>
      </x:c>
    </x:row>
    <x:row r="358">
      <x:c r="A358" s="11" t="n">
        <x:v>357</x:v>
      </x:c>
      <x:c r="B358" s="11" t="str">
        <x:v>2026-08-12</x:v>
      </x:c>
      <x:c r="C358" s="11" t="str">
        <x:v>L3</x:v>
      </x:c>
      <x:c r="D358" s="11" t="str">
        <x:v>Empaque</x:v>
      </x:c>
      <x:c r="E358" s="11" t="str">
        <x:v>Matutino</x:v>
      </x:c>
      <x:c r="F358" s="11" t="str">
        <x:v>CAL</x:v>
      </x:c>
      <x:c r="G358" s="11" t="str">
        <x:v>Ajuste de calidad</x:v>
      </x:c>
      <x:c r="H358" s="11" t="str">
        <x:v>Calidad</x:v>
      </x:c>
      <x:c r="I358" s="11" t="n">
        <x:v>20</x:v>
      </x:c>
      <x:c r="J358" s="11" t="str">
        <x:v>Cerrada</x:v>
      </x:c>
      <x:c r="K358" s="11" t="str">
        <x:v>Inspección y liberación</x:v>
      </x:c>
    </x:row>
    <x:row r="359">
      <x:c r="A359" s="11" t="n">
        <x:v>358</x:v>
      </x:c>
      <x:c r="B359" s="11" t="str">
        <x:v>2026-08-12</x:v>
      </x:c>
      <x:c r="C359" s="11" t="str">
        <x:v>L3</x:v>
      </x:c>
      <x:c r="D359" s="11" t="str">
        <x:v>Empaque</x:v>
      </x:c>
      <x:c r="E359" s="11" t="str">
        <x:v>Matutino</x:v>
      </x:c>
      <x:c r="F359" s="11" t="str">
        <x:v>MEC</x:v>
      </x:c>
      <x:c r="G359" s="11" t="str">
        <x:v>Falla mecánica</x:v>
      </x:c>
      <x:c r="H359" s="11" t="str">
        <x:v>Mantenimiento</x:v>
      </x:c>
      <x:c r="I359" s="11" t="n">
        <x:v>8</x:v>
      </x:c>
      <x:c r="J359" s="11" t="str">
        <x:v>Abierta</x:v>
      </x:c>
      <x:c r="K359" s="11" t="str">
        <x:v>Inspección y liberación</x:v>
      </x:c>
    </x:row>
    <x:row r="360">
      <x:c r="A360" s="11" t="n">
        <x:v>359</x:v>
      </x:c>
      <x:c r="B360" s="11" t="str">
        <x:v>2026-08-12</x:v>
      </x:c>
      <x:c r="C360" s="11" t="str">
        <x:v>L3</x:v>
      </x:c>
      <x:c r="D360" s="11" t="str">
        <x:v>Empaque</x:v>
      </x:c>
      <x:c r="E360" s="11" t="str">
        <x:v>Matutino</x:v>
      </x:c>
      <x:c r="F360" s="11" t="str">
        <x:v>MAT</x:v>
      </x:c>
      <x:c r="G360" s="11" t="str">
        <x:v>Falta de material</x:v>
      </x:c>
      <x:c r="H360" s="11" t="str">
        <x:v>Logística</x:v>
      </x:c>
      <x:c r="I360" s="11" t="n">
        <x:v>26</x:v>
      </x:c>
      <x:c r="J360" s="11" t="str">
        <x:v>Cerrada</x:v>
      </x:c>
      <x:c r="K360" s="11" t="str">
        <x:v>Reinicio controlado</x:v>
      </x:c>
    </x:row>
    <x:row r="361">
      <x:c r="A361" s="11" t="n">
        <x:v>360</x:v>
      </x:c>
      <x:c r="B361" s="11" t="str">
        <x:v>2026-08-12</x:v>
      </x:c>
      <x:c r="C361" s="11" t="str">
        <x:v>L3</x:v>
      </x:c>
      <x:c r="D361" s="11" t="str">
        <x:v>Empaque</x:v>
      </x:c>
      <x:c r="E361" s="11" t="str">
        <x:v>Vespertino</x:v>
      </x:c>
      <x:c r="F361" s="11" t="str">
        <x:v>MAT</x:v>
      </x:c>
      <x:c r="G361" s="11" t="str">
        <x:v>Falta de material</x:v>
      </x:c>
      <x:c r="H361" s="11" t="str">
        <x:v>Logística</x:v>
      </x:c>
      <x:c r="I361" s="11" t="n">
        <x:v>40</x:v>
      </x:c>
      <x:c r="J361" s="11" t="str">
        <x:v>Cerrada</x:v>
      </x:c>
      <x:c r="K361" s="11" t="str">
        <x:v>Inspección y liberación</x:v>
      </x:c>
    </x:row>
    <x:row r="362">
      <x:c r="A362" s="11" t="n">
        <x:v>361</x:v>
      </x:c>
      <x:c r="B362" s="11" t="str">
        <x:v>2026-08-12</x:v>
      </x:c>
      <x:c r="C362" s="11" t="str">
        <x:v>L4</x:v>
      </x:c>
      <x:c r="D362" s="11" t="str">
        <x:v>Etiquetado</x:v>
      </x:c>
      <x:c r="E362" s="11" t="str">
        <x:v>Matutino</x:v>
      </x:c>
      <x:c r="F362" s="11" t="str">
        <x:v>ELE</x:v>
      </x:c>
      <x:c r="G362" s="11" t="str">
        <x:v>Falla eléctrica</x:v>
      </x:c>
      <x:c r="H362" s="11" t="str">
        <x:v>Mantenimiento</x:v>
      </x:c>
      <x:c r="I362" s="11" t="n">
        <x:v>23</x:v>
      </x:c>
      <x:c r="J362" s="11" t="str">
        <x:v>Cerrada</x:v>
      </x:c>
      <x:c r="K362" s="11" t="str">
        <x:v>Abastecimiento</x:v>
      </x:c>
    </x:row>
    <x:row r="363">
      <x:c r="A363" s="11" t="n">
        <x:v>362</x:v>
      </x:c>
      <x:c r="B363" s="11" t="str">
        <x:v>2026-08-12</x:v>
      </x:c>
      <x:c r="C363" s="11" t="str">
        <x:v>L4</x:v>
      </x:c>
      <x:c r="D363" s="11" t="str">
        <x:v>Etiquetado</x:v>
      </x:c>
      <x:c r="E363" s="11" t="str">
        <x:v>Vespertino</x:v>
      </x:c>
      <x:c r="F363" s="11" t="str">
        <x:v>CAL</x:v>
      </x:c>
      <x:c r="G363" s="11" t="str">
        <x:v>Ajuste de calidad</x:v>
      </x:c>
      <x:c r="H363" s="11" t="str">
        <x:v>Calidad</x:v>
      </x:c>
      <x:c r="I363" s="11" t="n">
        <x:v>26</x:v>
      </x:c>
      <x:c r="J363" s="11" t="str">
        <x:v>Abierta</x:v>
      </x:c>
      <x:c r="K363" s="11" t="str">
        <x:v>Reinicio controlado</x:v>
      </x:c>
    </x:row>
    <x:row r="364">
      <x:c r="A364" s="11" t="n">
        <x:v>363</x:v>
      </x:c>
      <x:c r="B364" s="11" t="str">
        <x:v>2026-08-13</x:v>
      </x:c>
      <x:c r="C364" s="11" t="str">
        <x:v>L1</x:v>
      </x:c>
      <x:c r="D364" s="11" t="str">
        <x:v>Envasado A</x:v>
      </x:c>
      <x:c r="E364" s="11" t="str">
        <x:v>Matutino</x:v>
      </x:c>
      <x:c r="F364" s="11" t="str">
        <x:v>ELE</x:v>
      </x:c>
      <x:c r="G364" s="11" t="str">
        <x:v>Falla eléctrica</x:v>
      </x:c>
      <x:c r="H364" s="11" t="str">
        <x:v>Mantenimiento</x:v>
      </x:c>
      <x:c r="I364" s="11" t="n">
        <x:v>8</x:v>
      </x:c>
      <x:c r="J364" s="11" t="str">
        <x:v>Cerrada</x:v>
      </x:c>
      <x:c r="K364" s="11" t="str">
        <x:v>Inspección y liberación</x:v>
      </x:c>
    </x:row>
    <x:row r="365">
      <x:c r="A365" s="11" t="n">
        <x:v>364</x:v>
      </x:c>
      <x:c r="B365" s="11" t="str">
        <x:v>2026-08-13</x:v>
      </x:c>
      <x:c r="C365" s="11" t="str">
        <x:v>L2</x:v>
      </x:c>
      <x:c r="D365" s="11" t="str">
        <x:v>Envasado B</x:v>
      </x:c>
      <x:c r="E365" s="11" t="str">
        <x:v>Matutino</x:v>
      </x:c>
      <x:c r="F365" s="11" t="str">
        <x:v>CAL</x:v>
      </x:c>
      <x:c r="G365" s="11" t="str">
        <x:v>Ajuste de calidad</x:v>
      </x:c>
      <x:c r="H365" s="11" t="str">
        <x:v>Calidad</x:v>
      </x:c>
      <x:c r="I365" s="11" t="n">
        <x:v>51</x:v>
      </x:c>
      <x:c r="J365" s="11" t="str">
        <x:v>Abierta</x:v>
      </x:c>
      <x:c r="K365" s="11" t="str">
        <x:v>Inspección y liberación</x:v>
      </x:c>
    </x:row>
    <x:row r="366">
      <x:c r="A366" s="11" t="n">
        <x:v>365</x:v>
      </x:c>
      <x:c r="B366" s="11" t="str">
        <x:v>2026-08-13</x:v>
      </x:c>
      <x:c r="C366" s="11" t="str">
        <x:v>L2</x:v>
      </x:c>
      <x:c r="D366" s="11" t="str">
        <x:v>Envasado B</x:v>
      </x:c>
      <x:c r="E366" s="11" t="str">
        <x:v>Vespertino</x:v>
      </x:c>
      <x:c r="F366" s="11" t="str">
        <x:v>MAT</x:v>
      </x:c>
      <x:c r="G366" s="11" t="str">
        <x:v>Falta de material</x:v>
      </x:c>
      <x:c r="H366" s="11" t="str">
        <x:v>Logística</x:v>
      </x:c>
      <x:c r="I366" s="11" t="n">
        <x:v>16</x:v>
      </x:c>
      <x:c r="J366" s="11" t="str">
        <x:v>Cerrada</x:v>
      </x:c>
      <x:c r="K366" s="11" t="str">
        <x:v>Ajuste y prueba</x:v>
      </x:c>
    </x:row>
    <x:row r="367">
      <x:c r="A367" s="11" t="n">
        <x:v>366</x:v>
      </x:c>
      <x:c r="B367" s="11" t="str">
        <x:v>2026-08-13</x:v>
      </x:c>
      <x:c r="C367" s="11" t="str">
        <x:v>L3</x:v>
      </x:c>
      <x:c r="D367" s="11" t="str">
        <x:v>Empaque</x:v>
      </x:c>
      <x:c r="E367" s="11" t="str">
        <x:v>Matutino</x:v>
      </x:c>
      <x:c r="F367" s="11" t="str">
        <x:v>CAL</x:v>
      </x:c>
      <x:c r="G367" s="11" t="str">
        <x:v>Ajuste de calidad</x:v>
      </x:c>
      <x:c r="H367" s="11" t="str">
        <x:v>Calidad</x:v>
      </x:c>
      <x:c r="I367" s="11" t="n">
        <x:v>25</x:v>
      </x:c>
      <x:c r="J367" s="11" t="str">
        <x:v>Cerrada</x:v>
      </x:c>
      <x:c r="K367" s="11" t="str">
        <x:v>Abastecimiento</x:v>
      </x:c>
    </x:row>
    <x:row r="368">
      <x:c r="A368" s="11" t="n">
        <x:v>367</x:v>
      </x:c>
      <x:c r="B368" s="11" t="str">
        <x:v>2026-08-13</x:v>
      </x:c>
      <x:c r="C368" s="11" t="str">
        <x:v>L3</x:v>
      </x:c>
      <x:c r="D368" s="11" t="str">
        <x:v>Empaque</x:v>
      </x:c>
      <x:c r="E368" s="11" t="str">
        <x:v>Matutino</x:v>
      </x:c>
      <x:c r="F368" s="11" t="str">
        <x:v>CAM</x:v>
      </x:c>
      <x:c r="G368" s="11" t="str">
        <x:v>Cambio de formato</x:v>
      </x:c>
      <x:c r="H368" s="11" t="str">
        <x:v>Producción</x:v>
      </x:c>
      <x:c r="I368" s="11" t="n">
        <x:v>27</x:v>
      </x:c>
      <x:c r="J368" s="11" t="str">
        <x:v>Cerrada</x:v>
      </x:c>
      <x:c r="K368" s="11" t="str">
        <x:v>Cambio de componente</x:v>
      </x:c>
    </x:row>
    <x:row r="369">
      <x:c r="A369" s="11" t="n">
        <x:v>368</x:v>
      </x:c>
      <x:c r="B369" s="11" t="str">
        <x:v>2026-08-13</x:v>
      </x:c>
      <x:c r="C369" s="11" t="str">
        <x:v>L3</x:v>
      </x:c>
      <x:c r="D369" s="11" t="str">
        <x:v>Empaque</x:v>
      </x:c>
      <x:c r="E369" s="11" t="str">
        <x:v>Vespertino</x:v>
      </x:c>
      <x:c r="F369" s="11" t="str">
        <x:v>MAT</x:v>
      </x:c>
      <x:c r="G369" s="11" t="str">
        <x:v>Falta de material</x:v>
      </x:c>
      <x:c r="H369" s="11" t="str">
        <x:v>Logística</x:v>
      </x:c>
      <x:c r="I369" s="11" t="n">
        <x:v>38</x:v>
      </x:c>
      <x:c r="J369" s="11" t="str">
        <x:v>Cerrada</x:v>
      </x:c>
      <x:c r="K369" s="11" t="str">
        <x:v>Abastecimiento</x:v>
      </x:c>
    </x:row>
    <x:row r="370">
      <x:c r="A370" s="11" t="n">
        <x:v>369</x:v>
      </x:c>
      <x:c r="B370" s="11" t="str">
        <x:v>2026-08-13</x:v>
      </x:c>
      <x:c r="C370" s="11" t="str">
        <x:v>L4</x:v>
      </x:c>
      <x:c r="D370" s="11" t="str">
        <x:v>Etiquetado</x:v>
      </x:c>
      <x:c r="E370" s="11" t="str">
        <x:v>Matutino</x:v>
      </x:c>
      <x:c r="F370" s="11" t="str">
        <x:v>CAL</x:v>
      </x:c>
      <x:c r="G370" s="11" t="str">
        <x:v>Ajuste de calidad</x:v>
      </x:c>
      <x:c r="H370" s="11" t="str">
        <x:v>Calidad</x:v>
      </x:c>
      <x:c r="I370" s="11" t="n">
        <x:v>20</x:v>
      </x:c>
      <x:c r="J370" s="11" t="str">
        <x:v>Abierta</x:v>
      </x:c>
      <x:c r="K370" s="11" t="str">
        <x:v>Abastecimiento</x:v>
      </x:c>
    </x:row>
    <x:row r="371">
      <x:c r="A371" s="11" t="n">
        <x:v>370</x:v>
      </x:c>
      <x:c r="B371" s="11" t="str">
        <x:v>2026-08-13</x:v>
      </x:c>
      <x:c r="C371" s="11" t="str">
        <x:v>L4</x:v>
      </x:c>
      <x:c r="D371" s="11" t="str">
        <x:v>Etiquetado</x:v>
      </x:c>
      <x:c r="E371" s="11" t="str">
        <x:v>Vespertino</x:v>
      </x:c>
      <x:c r="F371" s="11" t="str">
        <x:v>MAT</x:v>
      </x:c>
      <x:c r="G371" s="11" t="str">
        <x:v>Falta de material</x:v>
      </x:c>
      <x:c r="H371" s="11" t="str">
        <x:v>Logística</x:v>
      </x:c>
      <x:c r="I371" s="11" t="n">
        <x:v>52</x:v>
      </x:c>
      <x:c r="J371" s="11" t="str">
        <x:v>Abierta</x:v>
      </x:c>
      <x:c r="K371" s="11" t="str">
        <x:v>Abastecimiento</x:v>
      </x:c>
    </x:row>
    <x:row r="372">
      <x:c r="A372" s="11" t="n">
        <x:v>371</x:v>
      </x:c>
      <x:c r="B372" s="11" t="str">
        <x:v>2026-08-14</x:v>
      </x:c>
      <x:c r="C372" s="11" t="str">
        <x:v>L1</x:v>
      </x:c>
      <x:c r="D372" s="11" t="str">
        <x:v>Envasado A</x:v>
      </x:c>
      <x:c r="E372" s="11" t="str">
        <x:v>Matutino</x:v>
      </x:c>
      <x:c r="F372" s="11" t="str">
        <x:v>ELE</x:v>
      </x:c>
      <x:c r="G372" s="11" t="str">
        <x:v>Falla eléctrica</x:v>
      </x:c>
      <x:c r="H372" s="11" t="str">
        <x:v>Mantenimiento</x:v>
      </x:c>
      <x:c r="I372" s="11" t="n">
        <x:v>32</x:v>
      </x:c>
      <x:c r="J372" s="11" t="str">
        <x:v>Cerrada</x:v>
      </x:c>
      <x:c r="K372" s="11" t="str">
        <x:v>Reinicio controlado</x:v>
      </x:c>
    </x:row>
    <x:row r="373">
      <x:c r="A373" s="11" t="n">
        <x:v>372</x:v>
      </x:c>
      <x:c r="B373" s="11" t="str">
        <x:v>2026-08-14</x:v>
      </x:c>
      <x:c r="C373" s="11" t="str">
        <x:v>L1</x:v>
      </x:c>
      <x:c r="D373" s="11" t="str">
        <x:v>Envasado A</x:v>
      </x:c>
      <x:c r="E373" s="11" t="str">
        <x:v>Vespertino</x:v>
      </x:c>
      <x:c r="F373" s="11" t="str">
        <x:v>CAM</x:v>
      </x:c>
      <x:c r="G373" s="11" t="str">
        <x:v>Cambio de formato</x:v>
      </x:c>
      <x:c r="H373" s="11" t="str">
        <x:v>Producción</x:v>
      </x:c>
      <x:c r="I373" s="11" t="n">
        <x:v>13</x:v>
      </x:c>
      <x:c r="J373" s="11" t="str">
        <x:v>Cerrada</x:v>
      </x:c>
      <x:c r="K373" s="11" t="str">
        <x:v>Inspección y liberación</x:v>
      </x:c>
    </x:row>
    <x:row r="374">
      <x:c r="A374" s="11" t="n">
        <x:v>373</x:v>
      </x:c>
      <x:c r="B374" s="11" t="str">
        <x:v>2026-08-14</x:v>
      </x:c>
      <x:c r="C374" s="11" t="str">
        <x:v>L2</x:v>
      </x:c>
      <x:c r="D374" s="11" t="str">
        <x:v>Envasado B</x:v>
      </x:c>
      <x:c r="E374" s="11" t="str">
        <x:v>Matutino</x:v>
      </x:c>
      <x:c r="F374" s="11" t="str">
        <x:v>MAT</x:v>
      </x:c>
      <x:c r="G374" s="11" t="str">
        <x:v>Falta de material</x:v>
      </x:c>
      <x:c r="H374" s="11" t="str">
        <x:v>Logística</x:v>
      </x:c>
      <x:c r="I374" s="11" t="n">
        <x:v>53</x:v>
      </x:c>
      <x:c r="J374" s="11" t="str">
        <x:v>Cerrada</x:v>
      </x:c>
      <x:c r="K374" s="11" t="str">
        <x:v>Reinicio controlado</x:v>
      </x:c>
    </x:row>
    <x:row r="375">
      <x:c r="A375" s="11" t="n">
        <x:v>374</x:v>
      </x:c>
      <x:c r="B375" s="11" t="str">
        <x:v>2026-08-14</x:v>
      </x:c>
      <x:c r="C375" s="11" t="str">
        <x:v>L2</x:v>
      </x:c>
      <x:c r="D375" s="11" t="str">
        <x:v>Envasado B</x:v>
      </x:c>
      <x:c r="E375" s="11" t="str">
        <x:v>Vespertino</x:v>
      </x:c>
      <x:c r="F375" s="11" t="str">
        <x:v>MEC</x:v>
      </x:c>
      <x:c r="G375" s="11" t="str">
        <x:v>Falla mecánica</x:v>
      </x:c>
      <x:c r="H375" s="11" t="str">
        <x:v>Mantenimiento</x:v>
      </x:c>
      <x:c r="I375" s="11" t="n">
        <x:v>28</x:v>
      </x:c>
      <x:c r="J375" s="11" t="str">
        <x:v>Cerrada</x:v>
      </x:c>
      <x:c r="K375" s="11" t="str">
        <x:v>Reinicio controlado</x:v>
      </x:c>
    </x:row>
    <x:row r="376">
      <x:c r="A376" s="11" t="n">
        <x:v>375</x:v>
      </x:c>
      <x:c r="B376" s="11" t="str">
        <x:v>2026-08-14</x:v>
      </x:c>
      <x:c r="C376" s="11" t="str">
        <x:v>L3</x:v>
      </x:c>
      <x:c r="D376" s="11" t="str">
        <x:v>Empaque</x:v>
      </x:c>
      <x:c r="E376" s="11" t="str">
        <x:v>Vespertino</x:v>
      </x:c>
      <x:c r="F376" s="11" t="str">
        <x:v>MEC</x:v>
      </x:c>
      <x:c r="G376" s="11" t="str">
        <x:v>Falla mecánica</x:v>
      </x:c>
      <x:c r="H376" s="11" t="str">
        <x:v>Mantenimiento</x:v>
      </x:c>
      <x:c r="I376" s="11" t="n">
        <x:v>22</x:v>
      </x:c>
      <x:c r="J376" s="11" t="str">
        <x:v>Cerrada</x:v>
      </x:c>
      <x:c r="K376" s="11" t="str">
        <x:v>Abastecimiento</x:v>
      </x:c>
    </x:row>
    <x:row r="377">
      <x:c r="A377" s="11" t="n">
        <x:v>376</x:v>
      </x:c>
      <x:c r="B377" s="11" t="str">
        <x:v>2026-08-14</x:v>
      </x:c>
      <x:c r="C377" s="11" t="str">
        <x:v>L4</x:v>
      </x:c>
      <x:c r="D377" s="11" t="str">
        <x:v>Etiquetado</x:v>
      </x:c>
      <x:c r="E377" s="11" t="str">
        <x:v>Matutino</x:v>
      </x:c>
      <x:c r="F377" s="11" t="str">
        <x:v>MAT</x:v>
      </x:c>
      <x:c r="G377" s="11" t="str">
        <x:v>Falta de material</x:v>
      </x:c>
      <x:c r="H377" s="11" t="str">
        <x:v>Logística</x:v>
      </x:c>
      <x:c r="I377" s="11" t="n">
        <x:v>39</x:v>
      </x:c>
      <x:c r="J377" s="11" t="str">
        <x:v>Cerrada</x:v>
      </x:c>
      <x:c r="K377" s="11" t="str">
        <x:v>Cambio de componente</x:v>
      </x:c>
    </x:row>
    <x:row r="378">
      <x:c r="A378" s="11" t="n">
        <x:v>377</x:v>
      </x:c>
      <x:c r="B378" s="11" t="str">
        <x:v>2026-08-14</x:v>
      </x:c>
      <x:c r="C378" s="11" t="str">
        <x:v>L4</x:v>
      </x:c>
      <x:c r="D378" s="11" t="str">
        <x:v>Etiquetado</x:v>
      </x:c>
      <x:c r="E378" s="11" t="str">
        <x:v>Vespertino</x:v>
      </x:c>
      <x:c r="F378" s="11" t="str">
        <x:v>CAL</x:v>
      </x:c>
      <x:c r="G378" s="11" t="str">
        <x:v>Ajuste de calidad</x:v>
      </x:c>
      <x:c r="H378" s="11" t="str">
        <x:v>Calidad</x:v>
      </x:c>
      <x:c r="I378" s="11" t="n">
        <x:v>39</x:v>
      </x:c>
      <x:c r="J378" s="11" t="str">
        <x:v>Cerrada</x:v>
      </x:c>
      <x:c r="K378" s="11" t="str">
        <x:v>Cambio de componente</x:v>
      </x:c>
    </x:row>
    <x:row r="379">
      <x:c r="A379" s="11" t="n">
        <x:v>378</x:v>
      </x:c>
      <x:c r="B379" s="11" t="str">
        <x:v>2026-08-15</x:v>
      </x:c>
      <x:c r="C379" s="11" t="str">
        <x:v>L1</x:v>
      </x:c>
      <x:c r="D379" s="11" t="str">
        <x:v>Envasado A</x:v>
      </x:c>
      <x:c r="E379" s="11" t="str">
        <x:v>Matutino</x:v>
      </x:c>
      <x:c r="F379" s="11" t="str">
        <x:v>ELE</x:v>
      </x:c>
      <x:c r="G379" s="11" t="str">
        <x:v>Falla eléctrica</x:v>
      </x:c>
      <x:c r="H379" s="11" t="str">
        <x:v>Mantenimiento</x:v>
      </x:c>
      <x:c r="I379" s="11" t="n">
        <x:v>17</x:v>
      </x:c>
      <x:c r="J379" s="11" t="str">
        <x:v>Cerrada</x:v>
      </x:c>
      <x:c r="K379" s="11" t="str">
        <x:v>Cambio de componente</x:v>
      </x:c>
    </x:row>
    <x:row r="380">
      <x:c r="A380" s="11" t="n">
        <x:v>379</x:v>
      </x:c>
      <x:c r="B380" s="11" t="str">
        <x:v>2026-08-15</x:v>
      </x:c>
      <x:c r="C380" s="11" t="str">
        <x:v>L1</x:v>
      </x:c>
      <x:c r="D380" s="11" t="str">
        <x:v>Envasado A</x:v>
      </x:c>
      <x:c r="E380" s="11" t="str">
        <x:v>Vespertino</x:v>
      </x:c>
      <x:c r="F380" s="11" t="str">
        <x:v>ELE</x:v>
      </x:c>
      <x:c r="G380" s="11" t="str">
        <x:v>Falla eléctrica</x:v>
      </x:c>
      <x:c r="H380" s="11" t="str">
        <x:v>Mantenimiento</x:v>
      </x:c>
      <x:c r="I380" s="11" t="n">
        <x:v>24</x:v>
      </x:c>
      <x:c r="J380" s="11" t="str">
        <x:v>Cerrada</x:v>
      </x:c>
      <x:c r="K380" s="11" t="str">
        <x:v>Reinicio controlado</x:v>
      </x:c>
    </x:row>
    <x:row r="381">
      <x:c r="A381" s="11" t="n">
        <x:v>380</x:v>
      </x:c>
      <x:c r="B381" s="11" t="str">
        <x:v>2026-08-15</x:v>
      </x:c>
      <x:c r="C381" s="11" t="str">
        <x:v>L2</x:v>
      </x:c>
      <x:c r="D381" s="11" t="str">
        <x:v>Envasado B</x:v>
      </x:c>
      <x:c r="E381" s="11" t="str">
        <x:v>Matutino</x:v>
      </x:c>
      <x:c r="F381" s="11" t="str">
        <x:v>ELE</x:v>
      </x:c>
      <x:c r="G381" s="11" t="str">
        <x:v>Falla eléctrica</x:v>
      </x:c>
      <x:c r="H381" s="11" t="str">
        <x:v>Mantenimiento</x:v>
      </x:c>
      <x:c r="I381" s="11" t="n">
        <x:v>39</x:v>
      </x:c>
      <x:c r="J381" s="11" t="str">
        <x:v>Cerrada</x:v>
      </x:c>
      <x:c r="K381" s="11" t="str">
        <x:v>Cambio de componente</x:v>
      </x:c>
    </x:row>
    <x:row r="382">
      <x:c r="A382" s="11" t="n">
        <x:v>381</x:v>
      </x:c>
      <x:c r="B382" s="11" t="str">
        <x:v>2026-08-15</x:v>
      </x:c>
      <x:c r="C382" s="11" t="str">
        <x:v>L2</x:v>
      </x:c>
      <x:c r="D382" s="11" t="str">
        <x:v>Envasado B</x:v>
      </x:c>
      <x:c r="E382" s="11" t="str">
        <x:v>Vespertino</x:v>
      </x:c>
      <x:c r="F382" s="11" t="str">
        <x:v>ELE</x:v>
      </x:c>
      <x:c r="G382" s="11" t="str">
        <x:v>Falla eléctrica</x:v>
      </x:c>
      <x:c r="H382" s="11" t="str">
        <x:v>Mantenimiento</x:v>
      </x:c>
      <x:c r="I382" s="11" t="n">
        <x:v>11</x:v>
      </x:c>
      <x:c r="J382" s="11" t="str">
        <x:v>Cerrada</x:v>
      </x:c>
      <x:c r="K382" s="11" t="str">
        <x:v>Cambio de componente</x:v>
      </x:c>
    </x:row>
    <x:row r="383">
      <x:c r="A383" s="11" t="n">
        <x:v>382</x:v>
      </x:c>
      <x:c r="B383" s="11" t="str">
        <x:v>2026-08-15</x:v>
      </x:c>
      <x:c r="C383" s="11" t="str">
        <x:v>L3</x:v>
      </x:c>
      <x:c r="D383" s="11" t="str">
        <x:v>Empaque</x:v>
      </x:c>
      <x:c r="E383" s="11" t="str">
        <x:v>Matutino</x:v>
      </x:c>
      <x:c r="F383" s="11" t="str">
        <x:v>MEC</x:v>
      </x:c>
      <x:c r="G383" s="11" t="str">
        <x:v>Falla mecánica</x:v>
      </x:c>
      <x:c r="H383" s="11" t="str">
        <x:v>Mantenimiento</x:v>
      </x:c>
      <x:c r="I383" s="11" t="n">
        <x:v>19</x:v>
      </x:c>
      <x:c r="J383" s="11" t="str">
        <x:v>Abierta</x:v>
      </x:c>
      <x:c r="K383" s="11" t="str">
        <x:v>Ajuste y prueba</x:v>
      </x:c>
    </x:row>
    <x:row r="384">
      <x:c r="A384" s="11" t="n">
        <x:v>383</x:v>
      </x:c>
      <x:c r="B384" s="11" t="str">
        <x:v>2026-08-15</x:v>
      </x:c>
      <x:c r="C384" s="11" t="str">
        <x:v>L3</x:v>
      </x:c>
      <x:c r="D384" s="11" t="str">
        <x:v>Empaque</x:v>
      </x:c>
      <x:c r="E384" s="11" t="str">
        <x:v>Vespertino</x:v>
      </x:c>
      <x:c r="F384" s="11" t="str">
        <x:v>CAM</x:v>
      </x:c>
      <x:c r="G384" s="11" t="str">
        <x:v>Cambio de formato</x:v>
      </x:c>
      <x:c r="H384" s="11" t="str">
        <x:v>Producción</x:v>
      </x:c>
      <x:c r="I384" s="11" t="n">
        <x:v>44</x:v>
      </x:c>
      <x:c r="J384" s="11" t="str">
        <x:v>Abierta</x:v>
      </x:c>
      <x:c r="K384" s="11" t="str">
        <x:v>Inspección y liberación</x:v>
      </x:c>
    </x:row>
    <x:row r="385">
      <x:c r="A385" s="11" t="n">
        <x:v>384</x:v>
      </x:c>
      <x:c r="B385" s="11" t="str">
        <x:v>2026-08-15</x:v>
      </x:c>
      <x:c r="C385" s="11" t="str">
        <x:v>L4</x:v>
      </x:c>
      <x:c r="D385" s="11" t="str">
        <x:v>Etiquetado</x:v>
      </x:c>
      <x:c r="E385" s="11" t="str">
        <x:v>Matutino</x:v>
      </x:c>
      <x:c r="F385" s="11" t="str">
        <x:v>MEC</x:v>
      </x:c>
      <x:c r="G385" s="11" t="str">
        <x:v>Falla mecánica</x:v>
      </x:c>
      <x:c r="H385" s="11" t="str">
        <x:v>Mantenimiento</x:v>
      </x:c>
      <x:c r="I385" s="11" t="n">
        <x:v>6</x:v>
      </x:c>
      <x:c r="J385" s="11" t="str">
        <x:v>Cerrada</x:v>
      </x:c>
      <x:c r="K385" s="11" t="str">
        <x:v>Reinicio controlado</x:v>
      </x:c>
    </x:row>
    <x:row r="386">
      <x:c r="A386" s="11" t="n">
        <x:v>385</x:v>
      </x:c>
      <x:c r="B386" s="11" t="str">
        <x:v>2026-08-15</x:v>
      </x:c>
      <x:c r="C386" s="11" t="str">
        <x:v>L4</x:v>
      </x:c>
      <x:c r="D386" s="11" t="str">
        <x:v>Etiquetado</x:v>
      </x:c>
      <x:c r="E386" s="11" t="str">
        <x:v>Vespertino</x:v>
      </x:c>
      <x:c r="F386" s="11" t="str">
        <x:v>CAL</x:v>
      </x:c>
      <x:c r="G386" s="11" t="str">
        <x:v>Ajuste de calidad</x:v>
      </x:c>
      <x:c r="H386" s="11" t="str">
        <x:v>Calidad</x:v>
      </x:c>
      <x:c r="I386" s="11" t="n">
        <x:v>21</x:v>
      </x:c>
      <x:c r="J386" s="11" t="str">
        <x:v>Cerrada</x:v>
      </x:c>
      <x:c r="K386" s="11" t="str">
        <x:v>Abastecimiento</x:v>
      </x:c>
    </x:row>
    <x:row r="387">
      <x:c r="A387" s="11" t="n">
        <x:v>386</x:v>
      </x:c>
      <x:c r="B387" s="11" t="str">
        <x:v>2026-08-16</x:v>
      </x:c>
      <x:c r="C387" s="11" t="str">
        <x:v>L1</x:v>
      </x:c>
      <x:c r="D387" s="11" t="str">
        <x:v>Envasado A</x:v>
      </x:c>
      <x:c r="E387" s="11" t="str">
        <x:v>Matutino</x:v>
      </x:c>
      <x:c r="F387" s="11" t="str">
        <x:v>CAL</x:v>
      </x:c>
      <x:c r="G387" s="11" t="str">
        <x:v>Ajuste de calidad</x:v>
      </x:c>
      <x:c r="H387" s="11" t="str">
        <x:v>Calidad</x:v>
      </x:c>
      <x:c r="I387" s="11" t="n">
        <x:v>31</x:v>
      </x:c>
      <x:c r="J387" s="11" t="str">
        <x:v>Cerrada</x:v>
      </x:c>
      <x:c r="K387" s="11" t="str">
        <x:v>Abastecimiento</x:v>
      </x:c>
    </x:row>
    <x:row r="388">
      <x:c r="A388" s="11" t="n">
        <x:v>387</x:v>
      </x:c>
      <x:c r="B388" s="11" t="str">
        <x:v>2026-08-16</x:v>
      </x:c>
      <x:c r="C388" s="11" t="str">
        <x:v>L1</x:v>
      </x:c>
      <x:c r="D388" s="11" t="str">
        <x:v>Envasado A</x:v>
      </x:c>
      <x:c r="E388" s="11" t="str">
        <x:v>Vespertino</x:v>
      </x:c>
      <x:c r="F388" s="11" t="str">
        <x:v>ELE</x:v>
      </x:c>
      <x:c r="G388" s="11" t="str">
        <x:v>Falla eléctrica</x:v>
      </x:c>
      <x:c r="H388" s="11" t="str">
        <x:v>Mantenimiento</x:v>
      </x:c>
      <x:c r="I388" s="11" t="n">
        <x:v>34</x:v>
      </x:c>
      <x:c r="J388" s="11" t="str">
        <x:v>Cerrada</x:v>
      </x:c>
      <x:c r="K388" s="11" t="str">
        <x:v>Abastecimiento</x:v>
      </x:c>
    </x:row>
    <x:row r="389">
      <x:c r="A389" s="11" t="n">
        <x:v>388</x:v>
      </x:c>
      <x:c r="B389" s="11" t="str">
        <x:v>2026-08-16</x:v>
      </x:c>
      <x:c r="C389" s="11" t="str">
        <x:v>L2</x:v>
      </x:c>
      <x:c r="D389" s="11" t="str">
        <x:v>Envasado B</x:v>
      </x:c>
      <x:c r="E389" s="11" t="str">
        <x:v>Matutino</x:v>
      </x:c>
      <x:c r="F389" s="11" t="str">
        <x:v>ELE</x:v>
      </x:c>
      <x:c r="G389" s="11" t="str">
        <x:v>Falla eléctrica</x:v>
      </x:c>
      <x:c r="H389" s="11" t="str">
        <x:v>Mantenimiento</x:v>
      </x:c>
      <x:c r="I389" s="11" t="n">
        <x:v>21</x:v>
      </x:c>
      <x:c r="J389" s="11" t="str">
        <x:v>Cerrada</x:v>
      </x:c>
      <x:c r="K389" s="11" t="str">
        <x:v>Ajuste y prueba</x:v>
      </x:c>
    </x:row>
    <x:row r="390">
      <x:c r="A390" s="11" t="n">
        <x:v>389</x:v>
      </x:c>
      <x:c r="B390" s="11" t="str">
        <x:v>2026-08-16</x:v>
      </x:c>
      <x:c r="C390" s="11" t="str">
        <x:v>L2</x:v>
      </x:c>
      <x:c r="D390" s="11" t="str">
        <x:v>Envasado B</x:v>
      </x:c>
      <x:c r="E390" s="11" t="str">
        <x:v>Vespertino</x:v>
      </x:c>
      <x:c r="F390" s="11" t="str">
        <x:v>CAL</x:v>
      </x:c>
      <x:c r="G390" s="11" t="str">
        <x:v>Ajuste de calidad</x:v>
      </x:c>
      <x:c r="H390" s="11" t="str">
        <x:v>Calidad</x:v>
      </x:c>
      <x:c r="I390" s="11" t="n">
        <x:v>23</x:v>
      </x:c>
      <x:c r="J390" s="11" t="str">
        <x:v>Abierta</x:v>
      </x:c>
      <x:c r="K390" s="11" t="str">
        <x:v>Inspección y liberación</x:v>
      </x:c>
    </x:row>
    <x:row r="391">
      <x:c r="A391" s="11" t="n">
        <x:v>390</x:v>
      </x:c>
      <x:c r="B391" s="11" t="str">
        <x:v>2026-08-16</x:v>
      </x:c>
      <x:c r="C391" s="11" t="str">
        <x:v>L2</x:v>
      </x:c>
      <x:c r="D391" s="11" t="str">
        <x:v>Envasado B</x:v>
      </x:c>
      <x:c r="E391" s="11" t="str">
        <x:v>Vespertino</x:v>
      </x:c>
      <x:c r="F391" s="11" t="str">
        <x:v>CAM</x:v>
      </x:c>
      <x:c r="G391" s="11" t="str">
        <x:v>Cambio de formato</x:v>
      </x:c>
      <x:c r="H391" s="11" t="str">
        <x:v>Producción</x:v>
      </x:c>
      <x:c r="I391" s="11" t="n">
        <x:v>17</x:v>
      </x:c>
      <x:c r="J391" s="11" t="str">
        <x:v>Cerrada</x:v>
      </x:c>
      <x:c r="K391" s="11" t="str">
        <x:v>Abastecimiento</x:v>
      </x:c>
    </x:row>
    <x:row r="392">
      <x:c r="A392" s="11" t="n">
        <x:v>391</x:v>
      </x:c>
      <x:c r="B392" s="11" t="str">
        <x:v>2026-08-16</x:v>
      </x:c>
      <x:c r="C392" s="11" t="str">
        <x:v>L2</x:v>
      </x:c>
      <x:c r="D392" s="11" t="str">
        <x:v>Envasado B</x:v>
      </x:c>
      <x:c r="E392" s="11" t="str">
        <x:v>Vespertino</x:v>
      </x:c>
      <x:c r="F392" s="11" t="str">
        <x:v>MEC</x:v>
      </x:c>
      <x:c r="G392" s="11" t="str">
        <x:v>Falla mecánica</x:v>
      </x:c>
      <x:c r="H392" s="11" t="str">
        <x:v>Mantenimiento</x:v>
      </x:c>
      <x:c r="I392" s="11" t="n">
        <x:v>5</x:v>
      </x:c>
      <x:c r="J392" s="11" t="str">
        <x:v>Cerrada</x:v>
      </x:c>
      <x:c r="K392" s="11" t="str">
        <x:v>Reinicio controlado</x:v>
      </x:c>
    </x:row>
    <x:row r="393">
      <x:c r="A393" s="11" t="n">
        <x:v>392</x:v>
      </x:c>
      <x:c r="B393" s="11" t="str">
        <x:v>2026-08-17</x:v>
      </x:c>
      <x:c r="C393" s="11" t="str">
        <x:v>L1</x:v>
      </x:c>
      <x:c r="D393" s="11" t="str">
        <x:v>Envasado A</x:v>
      </x:c>
      <x:c r="E393" s="11" t="str">
        <x:v>Matutino</x:v>
      </x:c>
      <x:c r="F393" s="11" t="str">
        <x:v>MEC</x:v>
      </x:c>
      <x:c r="G393" s="11" t="str">
        <x:v>Falla mecánica</x:v>
      </x:c>
      <x:c r="H393" s="11" t="str">
        <x:v>Mantenimiento</x:v>
      </x:c>
      <x:c r="I393" s="11" t="n">
        <x:v>66</x:v>
      </x:c>
      <x:c r="J393" s="11" t="str">
        <x:v>Cerrada</x:v>
      </x:c>
      <x:c r="K393" s="11" t="str">
        <x:v>Abastecimiento</x:v>
      </x:c>
    </x:row>
    <x:row r="394">
      <x:c r="A394" s="11" t="n">
        <x:v>393</x:v>
      </x:c>
      <x:c r="B394" s="11" t="str">
        <x:v>2026-08-17</x:v>
      </x:c>
      <x:c r="C394" s="11" t="str">
        <x:v>L1</x:v>
      </x:c>
      <x:c r="D394" s="11" t="str">
        <x:v>Envasado A</x:v>
      </x:c>
      <x:c r="E394" s="11" t="str">
        <x:v>Vespertino</x:v>
      </x:c>
      <x:c r="F394" s="11" t="str">
        <x:v>MAT</x:v>
      </x:c>
      <x:c r="G394" s="11" t="str">
        <x:v>Falta de material</x:v>
      </x:c>
      <x:c r="H394" s="11" t="str">
        <x:v>Logística</x:v>
      </x:c>
      <x:c r="I394" s="11" t="n">
        <x:v>53</x:v>
      </x:c>
      <x:c r="J394" s="11" t="str">
        <x:v>Cerrada</x:v>
      </x:c>
      <x:c r="K394" s="11" t="str">
        <x:v>Inspección y liberación</x:v>
      </x:c>
    </x:row>
    <x:row r="395">
      <x:c r="A395" s="11" t="n">
        <x:v>394</x:v>
      </x:c>
      <x:c r="B395" s="11" t="str">
        <x:v>2026-08-17</x:v>
      </x:c>
      <x:c r="C395" s="11" t="str">
        <x:v>L2</x:v>
      </x:c>
      <x:c r="D395" s="11" t="str">
        <x:v>Envasado B</x:v>
      </x:c>
      <x:c r="E395" s="11" t="str">
        <x:v>Matutino</x:v>
      </x:c>
      <x:c r="F395" s="11" t="str">
        <x:v>MAT</x:v>
      </x:c>
      <x:c r="G395" s="11" t="str">
        <x:v>Falta de material</x:v>
      </x:c>
      <x:c r="H395" s="11" t="str">
        <x:v>Logística</x:v>
      </x:c>
      <x:c r="I395" s="11" t="n">
        <x:v>20</x:v>
      </x:c>
      <x:c r="J395" s="11" t="str">
        <x:v>Cerrada</x:v>
      </x:c>
      <x:c r="K395" s="11" t="str">
        <x:v>Inspección y liberación</x:v>
      </x:c>
    </x:row>
    <x:row r="396">
      <x:c r="A396" s="11" t="n">
        <x:v>395</x:v>
      </x:c>
      <x:c r="B396" s="11" t="str">
        <x:v>2026-08-17</x:v>
      </x:c>
      <x:c r="C396" s="11" t="str">
        <x:v>L2</x:v>
      </x:c>
      <x:c r="D396" s="11" t="str">
        <x:v>Envasado B</x:v>
      </x:c>
      <x:c r="E396" s="11" t="str">
        <x:v>Vespertino</x:v>
      </x:c>
      <x:c r="F396" s="11" t="str">
        <x:v>MAT</x:v>
      </x:c>
      <x:c r="G396" s="11" t="str">
        <x:v>Falta de material</x:v>
      </x:c>
      <x:c r="H396" s="11" t="str">
        <x:v>Logística</x:v>
      </x:c>
      <x:c r="I396" s="11" t="n">
        <x:v>15</x:v>
      </x:c>
      <x:c r="J396" s="11" t="str">
        <x:v>Cerrada</x:v>
      </x:c>
      <x:c r="K396" s="11" t="str">
        <x:v>Inspección y liberación</x:v>
      </x:c>
    </x:row>
    <x:row r="397">
      <x:c r="A397" s="11" t="n">
        <x:v>396</x:v>
      </x:c>
      <x:c r="B397" s="11" t="str">
        <x:v>2026-08-17</x:v>
      </x:c>
      <x:c r="C397" s="11" t="str">
        <x:v>L2</x:v>
      </x:c>
      <x:c r="D397" s="11" t="str">
        <x:v>Envasado B</x:v>
      </x:c>
      <x:c r="E397" s="11" t="str">
        <x:v>Vespertino</x:v>
      </x:c>
      <x:c r="F397" s="11" t="str">
        <x:v>MAT</x:v>
      </x:c>
      <x:c r="G397" s="11" t="str">
        <x:v>Falta de material</x:v>
      </x:c>
      <x:c r="H397" s="11" t="str">
        <x:v>Logística</x:v>
      </x:c>
      <x:c r="I397" s="11" t="n">
        <x:v>93</x:v>
      </x:c>
      <x:c r="J397" s="11" t="str">
        <x:v>Cerrada</x:v>
      </x:c>
      <x:c r="K397" s="11" t="str">
        <x:v>Cambio de componente</x:v>
      </x:c>
    </x:row>
    <x:row r="398">
      <x:c r="A398" s="11" t="n">
        <x:v>397</x:v>
      </x:c>
      <x:c r="B398" s="11" t="str">
        <x:v>2026-08-17</x:v>
      </x:c>
      <x:c r="C398" s="11" t="str">
        <x:v>L3</x:v>
      </x:c>
      <x:c r="D398" s="11" t="str">
        <x:v>Empaque</x:v>
      </x:c>
      <x:c r="E398" s="11" t="str">
        <x:v>Matutino</x:v>
      </x:c>
      <x:c r="F398" s="11" t="str">
        <x:v>CAM</x:v>
      </x:c>
      <x:c r="G398" s="11" t="str">
        <x:v>Cambio de formato</x:v>
      </x:c>
      <x:c r="H398" s="11" t="str">
        <x:v>Producción</x:v>
      </x:c>
      <x:c r="I398" s="11" t="n">
        <x:v>41</x:v>
      </x:c>
      <x:c r="J398" s="11" t="str">
        <x:v>Cerrada</x:v>
      </x:c>
      <x:c r="K398" s="11" t="str">
        <x:v>Cambio de componente</x:v>
      </x:c>
    </x:row>
    <x:row r="399">
      <x:c r="A399" s="11" t="n">
        <x:v>398</x:v>
      </x:c>
      <x:c r="B399" s="11" t="str">
        <x:v>2026-08-17</x:v>
      </x:c>
      <x:c r="C399" s="11" t="str">
        <x:v>L3</x:v>
      </x:c>
      <x:c r="D399" s="11" t="str">
        <x:v>Empaque</x:v>
      </x:c>
      <x:c r="E399" s="11" t="str">
        <x:v>Vespertino</x:v>
      </x:c>
      <x:c r="F399" s="11" t="str">
        <x:v>CAM</x:v>
      </x:c>
      <x:c r="G399" s="11" t="str">
        <x:v>Cambio de formato</x:v>
      </x:c>
      <x:c r="H399" s="11" t="str">
        <x:v>Producción</x:v>
      </x:c>
      <x:c r="I399" s="11" t="n">
        <x:v>39</x:v>
      </x:c>
      <x:c r="J399" s="11" t="str">
        <x:v>Cerrada</x:v>
      </x:c>
      <x:c r="K399" s="11" t="str">
        <x:v>Reinicio controlado</x:v>
      </x:c>
    </x:row>
    <x:row r="400">
      <x:c r="A400" s="11" t="n">
        <x:v>399</x:v>
      </x:c>
      <x:c r="B400" s="11" t="str">
        <x:v>2026-08-17</x:v>
      </x:c>
      <x:c r="C400" s="11" t="str">
        <x:v>L4</x:v>
      </x:c>
      <x:c r="D400" s="11" t="str">
        <x:v>Etiquetado</x:v>
      </x:c>
      <x:c r="E400" s="11" t="str">
        <x:v>Vespertino</x:v>
      </x:c>
      <x:c r="F400" s="11" t="str">
        <x:v>CAM</x:v>
      </x:c>
      <x:c r="G400" s="11" t="str">
        <x:v>Cambio de formato</x:v>
      </x:c>
      <x:c r="H400" s="11" t="str">
        <x:v>Producción</x:v>
      </x:c>
      <x:c r="I400" s="11" t="n">
        <x:v>16</x:v>
      </x:c>
      <x:c r="J400" s="11" t="str">
        <x:v>Cerrada</x:v>
      </x:c>
      <x:c r="K400" s="11" t="str">
        <x:v>Inspección y liberación</x:v>
      </x:c>
    </x:row>
    <x:row r="401">
      <x:c r="A401" s="11" t="n">
        <x:v>400</x:v>
      </x:c>
      <x:c r="B401" s="11" t="str">
        <x:v>2026-08-17</x:v>
      </x:c>
      <x:c r="C401" s="11" t="str">
        <x:v>L4</x:v>
      </x:c>
      <x:c r="D401" s="11" t="str">
        <x:v>Etiquetado</x:v>
      </x:c>
      <x:c r="E401" s="11" t="str">
        <x:v>Vespertino</x:v>
      </x:c>
      <x:c r="F401" s="11" t="str">
        <x:v>CAL</x:v>
      </x:c>
      <x:c r="G401" s="11" t="str">
        <x:v>Ajuste de calidad</x:v>
      </x:c>
      <x:c r="H401" s="11" t="str">
        <x:v>Calidad</x:v>
      </x:c>
      <x:c r="I401" s="11" t="n">
        <x:v>12</x:v>
      </x:c>
      <x:c r="J401" s="11" t="str">
        <x:v>Cerrada</x:v>
      </x:c>
      <x:c r="K401" s="11" t="str">
        <x:v>Ajuste y prueba</x:v>
      </x:c>
    </x:row>
    <x:row r="402">
      <x:c r="A402" s="11" t="n">
        <x:v>401</x:v>
      </x:c>
      <x:c r="B402" s="11" t="str">
        <x:v>2026-08-17</x:v>
      </x:c>
      <x:c r="C402" s="11" t="str">
        <x:v>L4</x:v>
      </x:c>
      <x:c r="D402" s="11" t="str">
        <x:v>Etiquetado</x:v>
      </x:c>
      <x:c r="E402" s="11" t="str">
        <x:v>Vespertino</x:v>
      </x:c>
      <x:c r="F402" s="11" t="str">
        <x:v>MAT</x:v>
      </x:c>
      <x:c r="G402" s="11" t="str">
        <x:v>Falta de material</x:v>
      </x:c>
      <x:c r="H402" s="11" t="str">
        <x:v>Logística</x:v>
      </x:c>
      <x:c r="I402" s="11" t="n">
        <x:v>18</x:v>
      </x:c>
      <x:c r="J402" s="11" t="str">
        <x:v>Cerrada</x:v>
      </x:c>
      <x:c r="K402" s="11" t="str">
        <x:v>Inspección y liberación</x:v>
      </x:c>
    </x:row>
    <x:row r="403">
      <x:c r="A403" s="11" t="n">
        <x:v>402</x:v>
      </x:c>
      <x:c r="B403" s="11" t="str">
        <x:v>2026-08-18</x:v>
      </x:c>
      <x:c r="C403" s="11" t="str">
        <x:v>L1</x:v>
      </x:c>
      <x:c r="D403" s="11" t="str">
        <x:v>Envasado A</x:v>
      </x:c>
      <x:c r="E403" s="11" t="str">
        <x:v>Matutino</x:v>
      </x:c>
      <x:c r="F403" s="11" t="str">
        <x:v>CAM</x:v>
      </x:c>
      <x:c r="G403" s="11" t="str">
        <x:v>Cambio de formato</x:v>
      </x:c>
      <x:c r="H403" s="11" t="str">
        <x:v>Producción</x:v>
      </x:c>
      <x:c r="I403" s="11" t="n">
        <x:v>42</x:v>
      </x:c>
      <x:c r="J403" s="11" t="str">
        <x:v>Cerrada</x:v>
      </x:c>
      <x:c r="K403" s="11" t="str">
        <x:v>Cambio de componente</x:v>
      </x:c>
    </x:row>
    <x:row r="404">
      <x:c r="A404" s="11" t="n">
        <x:v>403</x:v>
      </x:c>
      <x:c r="B404" s="11" t="str">
        <x:v>2026-08-18</x:v>
      </x:c>
      <x:c r="C404" s="11" t="str">
        <x:v>L1</x:v>
      </x:c>
      <x:c r="D404" s="11" t="str">
        <x:v>Envasado A</x:v>
      </x:c>
      <x:c r="E404" s="11" t="str">
        <x:v>Vespertino</x:v>
      </x:c>
      <x:c r="F404" s="11" t="str">
        <x:v>ELE</x:v>
      </x:c>
      <x:c r="G404" s="11" t="str">
        <x:v>Falla eléctrica</x:v>
      </x:c>
      <x:c r="H404" s="11" t="str">
        <x:v>Mantenimiento</x:v>
      </x:c>
      <x:c r="I404" s="11" t="n">
        <x:v>19</x:v>
      </x:c>
      <x:c r="J404" s="11" t="str">
        <x:v>Cerrada</x:v>
      </x:c>
      <x:c r="K404" s="11" t="str">
        <x:v>Abastecimiento</x:v>
      </x:c>
    </x:row>
    <x:row r="405">
      <x:c r="A405" s="11" t="n">
        <x:v>404</x:v>
      </x:c>
      <x:c r="B405" s="11" t="str">
        <x:v>2026-08-18</x:v>
      </x:c>
      <x:c r="C405" s="11" t="str">
        <x:v>L2</x:v>
      </x:c>
      <x:c r="D405" s="11" t="str">
        <x:v>Envasado B</x:v>
      </x:c>
      <x:c r="E405" s="11" t="str">
        <x:v>Matutino</x:v>
      </x:c>
      <x:c r="F405" s="11" t="str">
        <x:v>MEC</x:v>
      </x:c>
      <x:c r="G405" s="11" t="str">
        <x:v>Falla mecánica</x:v>
      </x:c>
      <x:c r="H405" s="11" t="str">
        <x:v>Mantenimiento</x:v>
      </x:c>
      <x:c r="I405" s="11" t="n">
        <x:v>41</x:v>
      </x:c>
      <x:c r="J405" s="11" t="str">
        <x:v>Cerrada</x:v>
      </x:c>
      <x:c r="K405" s="11" t="str">
        <x:v>Abastecimiento</x:v>
      </x:c>
    </x:row>
    <x:row r="406">
      <x:c r="A406" s="11" t="n">
        <x:v>405</x:v>
      </x:c>
      <x:c r="B406" s="11" t="str">
        <x:v>2026-08-18</x:v>
      </x:c>
      <x:c r="C406" s="11" t="str">
        <x:v>L2</x:v>
      </x:c>
      <x:c r="D406" s="11" t="str">
        <x:v>Envasado B</x:v>
      </x:c>
      <x:c r="E406" s="11" t="str">
        <x:v>Vespertino</x:v>
      </x:c>
      <x:c r="F406" s="11" t="str">
        <x:v>CAM</x:v>
      </x:c>
      <x:c r="G406" s="11" t="str">
        <x:v>Cambio de formato</x:v>
      </x:c>
      <x:c r="H406" s="11" t="str">
        <x:v>Producción</x:v>
      </x:c>
      <x:c r="I406" s="11" t="n">
        <x:v>22</x:v>
      </x:c>
      <x:c r="J406" s="11" t="str">
        <x:v>Cerrada</x:v>
      </x:c>
      <x:c r="K406" s="11" t="str">
        <x:v>Inspección y liberación</x:v>
      </x:c>
    </x:row>
    <x:row r="407">
      <x:c r="A407" s="11" t="n">
        <x:v>406</x:v>
      </x:c>
      <x:c r="B407" s="11" t="str">
        <x:v>2026-08-18</x:v>
      </x:c>
      <x:c r="C407" s="11" t="str">
        <x:v>L3</x:v>
      </x:c>
      <x:c r="D407" s="11" t="str">
        <x:v>Empaque</x:v>
      </x:c>
      <x:c r="E407" s="11" t="str">
        <x:v>Matutino</x:v>
      </x:c>
      <x:c r="F407" s="11" t="str">
        <x:v>CAL</x:v>
      </x:c>
      <x:c r="G407" s="11" t="str">
        <x:v>Ajuste de calidad</x:v>
      </x:c>
      <x:c r="H407" s="11" t="str">
        <x:v>Calidad</x:v>
      </x:c>
      <x:c r="I407" s="11" t="n">
        <x:v>22</x:v>
      </x:c>
      <x:c r="J407" s="11" t="str">
        <x:v>Cerrada</x:v>
      </x:c>
      <x:c r="K407" s="11" t="str">
        <x:v>Abastecimiento</x:v>
      </x:c>
    </x:row>
    <x:row r="408">
      <x:c r="A408" s="11" t="n">
        <x:v>407</x:v>
      </x:c>
      <x:c r="B408" s="11" t="str">
        <x:v>2026-08-18</x:v>
      </x:c>
      <x:c r="C408" s="11" t="str">
        <x:v>L3</x:v>
      </x:c>
      <x:c r="D408" s="11" t="str">
        <x:v>Empaque</x:v>
      </x:c>
      <x:c r="E408" s="11" t="str">
        <x:v>Vespertino</x:v>
      </x:c>
      <x:c r="F408" s="11" t="str">
        <x:v>MAT</x:v>
      </x:c>
      <x:c r="G408" s="11" t="str">
        <x:v>Falta de material</x:v>
      </x:c>
      <x:c r="H408" s="11" t="str">
        <x:v>Logística</x:v>
      </x:c>
      <x:c r="I408" s="11" t="n">
        <x:v>4</x:v>
      </x:c>
      <x:c r="J408" s="11" t="str">
        <x:v>Cerrada</x:v>
      </x:c>
      <x:c r="K408" s="11" t="str">
        <x:v>Inspección y liberación</x:v>
      </x:c>
    </x:row>
    <x:row r="409">
      <x:c r="A409" s="11" t="n">
        <x:v>408</x:v>
      </x:c>
      <x:c r="B409" s="11" t="str">
        <x:v>2026-08-18</x:v>
      </x:c>
      <x:c r="C409" s="11" t="str">
        <x:v>L4</x:v>
      </x:c>
      <x:c r="D409" s="11" t="str">
        <x:v>Etiquetado</x:v>
      </x:c>
      <x:c r="E409" s="11" t="str">
        <x:v>Matutino</x:v>
      </x:c>
      <x:c r="F409" s="11" t="str">
        <x:v>CAL</x:v>
      </x:c>
      <x:c r="G409" s="11" t="str">
        <x:v>Ajuste de calidad</x:v>
      </x:c>
      <x:c r="H409" s="11" t="str">
        <x:v>Calidad</x:v>
      </x:c>
      <x:c r="I409" s="11" t="n">
        <x:v>6</x:v>
      </x:c>
      <x:c r="J409" s="11" t="str">
        <x:v>Abierta</x:v>
      </x:c>
      <x:c r="K409" s="11" t="str">
        <x:v>Abastecimiento</x:v>
      </x:c>
    </x:row>
    <x:row r="410">
      <x:c r="A410" s="11" t="n">
        <x:v>409</x:v>
      </x:c>
      <x:c r="B410" s="11" t="str">
        <x:v>2026-08-18</x:v>
      </x:c>
      <x:c r="C410" s="11" t="str">
        <x:v>L4</x:v>
      </x:c>
      <x:c r="D410" s="11" t="str">
        <x:v>Etiquetado</x:v>
      </x:c>
      <x:c r="E410" s="11" t="str">
        <x:v>Vespertino</x:v>
      </x:c>
      <x:c r="F410" s="11" t="str">
        <x:v>MEC</x:v>
      </x:c>
      <x:c r="G410" s="11" t="str">
        <x:v>Falla mecánica</x:v>
      </x:c>
      <x:c r="H410" s="11" t="str">
        <x:v>Mantenimiento</x:v>
      </x:c>
      <x:c r="I410" s="11" t="n">
        <x:v>43</x:v>
      </x:c>
      <x:c r="J410" s="11" t="str">
        <x:v>Cerrada</x:v>
      </x:c>
      <x:c r="K410" s="11" t="str">
        <x:v>Ajuste y prueba</x:v>
      </x:c>
    </x:row>
    <x:row r="411">
      <x:c r="A411" s="11" t="n">
        <x:v>410</x:v>
      </x:c>
      <x:c r="B411" s="11" t="str">
        <x:v>2026-08-19</x:v>
      </x:c>
      <x:c r="C411" s="11" t="str">
        <x:v>L1</x:v>
      </x:c>
      <x:c r="D411" s="11" t="str">
        <x:v>Envasado A</x:v>
      </x:c>
      <x:c r="E411" s="11" t="str">
        <x:v>Matutino</x:v>
      </x:c>
      <x:c r="F411" s="11" t="str">
        <x:v>ELE</x:v>
      </x:c>
      <x:c r="G411" s="11" t="str">
        <x:v>Falla eléctrica</x:v>
      </x:c>
      <x:c r="H411" s="11" t="str">
        <x:v>Mantenimiento</x:v>
      </x:c>
      <x:c r="I411" s="11" t="n">
        <x:v>29</x:v>
      </x:c>
      <x:c r="J411" s="11" t="str">
        <x:v>Cerrada</x:v>
      </x:c>
      <x:c r="K411" s="11" t="str">
        <x:v>Abastecimiento</x:v>
      </x:c>
    </x:row>
    <x:row r="412">
      <x:c r="A412" s="11" t="n">
        <x:v>411</x:v>
      </x:c>
      <x:c r="B412" s="11" t="str">
        <x:v>2026-08-19</x:v>
      </x:c>
      <x:c r="C412" s="11" t="str">
        <x:v>L1</x:v>
      </x:c>
      <x:c r="D412" s="11" t="str">
        <x:v>Envasado A</x:v>
      </x:c>
      <x:c r="E412" s="11" t="str">
        <x:v>Vespertino</x:v>
      </x:c>
      <x:c r="F412" s="11" t="str">
        <x:v>MEC</x:v>
      </x:c>
      <x:c r="G412" s="11" t="str">
        <x:v>Falla mecánica</x:v>
      </x:c>
      <x:c r="H412" s="11" t="str">
        <x:v>Mantenimiento</x:v>
      </x:c>
      <x:c r="I412" s="11" t="n">
        <x:v>41</x:v>
      </x:c>
      <x:c r="J412" s="11" t="str">
        <x:v>Cerrada</x:v>
      </x:c>
      <x:c r="K412" s="11" t="str">
        <x:v>Reinicio controlado</x:v>
      </x:c>
    </x:row>
    <x:row r="413">
      <x:c r="A413" s="11" t="n">
        <x:v>412</x:v>
      </x:c>
      <x:c r="B413" s="11" t="str">
        <x:v>2026-08-19</x:v>
      </x:c>
      <x:c r="C413" s="11" t="str">
        <x:v>L2</x:v>
      </x:c>
      <x:c r="D413" s="11" t="str">
        <x:v>Envasado B</x:v>
      </x:c>
      <x:c r="E413" s="11" t="str">
        <x:v>Matutino</x:v>
      </x:c>
      <x:c r="F413" s="11" t="str">
        <x:v>MAT</x:v>
      </x:c>
      <x:c r="G413" s="11" t="str">
        <x:v>Falta de material</x:v>
      </x:c>
      <x:c r="H413" s="11" t="str">
        <x:v>Logística</x:v>
      </x:c>
      <x:c r="I413" s="11" t="n">
        <x:v>21</x:v>
      </x:c>
      <x:c r="J413" s="11" t="str">
        <x:v>Cerrada</x:v>
      </x:c>
      <x:c r="K413" s="11" t="str">
        <x:v>Reinicio controlado</x:v>
      </x:c>
    </x:row>
    <x:row r="414">
      <x:c r="A414" s="11" t="n">
        <x:v>413</x:v>
      </x:c>
      <x:c r="B414" s="11" t="str">
        <x:v>2026-08-19</x:v>
      </x:c>
      <x:c r="C414" s="11" t="str">
        <x:v>L2</x:v>
      </x:c>
      <x:c r="D414" s="11" t="str">
        <x:v>Envasado B</x:v>
      </x:c>
      <x:c r="E414" s="11" t="str">
        <x:v>Vespertino</x:v>
      </x:c>
      <x:c r="F414" s="11" t="str">
        <x:v>CAL</x:v>
      </x:c>
      <x:c r="G414" s="11" t="str">
        <x:v>Ajuste de calidad</x:v>
      </x:c>
      <x:c r="H414" s="11" t="str">
        <x:v>Calidad</x:v>
      </x:c>
      <x:c r="I414" s="11" t="n">
        <x:v>13</x:v>
      </x:c>
      <x:c r="J414" s="11" t="str">
        <x:v>Cerrada</x:v>
      </x:c>
      <x:c r="K414" s="11" t="str">
        <x:v>Reinicio controlado</x:v>
      </x:c>
    </x:row>
    <x:row r="415">
      <x:c r="A415" s="11" t="n">
        <x:v>414</x:v>
      </x:c>
      <x:c r="B415" s="11" t="str">
        <x:v>2026-08-19</x:v>
      </x:c>
      <x:c r="C415" s="11" t="str">
        <x:v>L3</x:v>
      </x:c>
      <x:c r="D415" s="11" t="str">
        <x:v>Empaque</x:v>
      </x:c>
      <x:c r="E415" s="11" t="str">
        <x:v>Matutino</x:v>
      </x:c>
      <x:c r="F415" s="11" t="str">
        <x:v>MEC</x:v>
      </x:c>
      <x:c r="G415" s="11" t="str">
        <x:v>Falla mecánica</x:v>
      </x:c>
      <x:c r="H415" s="11" t="str">
        <x:v>Mantenimiento</x:v>
      </x:c>
      <x:c r="I415" s="11" t="n">
        <x:v>17</x:v>
      </x:c>
      <x:c r="J415" s="11" t="str">
        <x:v>Cerrada</x:v>
      </x:c>
      <x:c r="K415" s="11" t="str">
        <x:v>Ajuste y prueba</x:v>
      </x:c>
    </x:row>
    <x:row r="416">
      <x:c r="A416" s="11" t="n">
        <x:v>415</x:v>
      </x:c>
      <x:c r="B416" s="11" t="str">
        <x:v>2026-08-19</x:v>
      </x:c>
      <x:c r="C416" s="11" t="str">
        <x:v>L3</x:v>
      </x:c>
      <x:c r="D416" s="11" t="str">
        <x:v>Empaque</x:v>
      </x:c>
      <x:c r="E416" s="11" t="str">
        <x:v>Vespertino</x:v>
      </x:c>
      <x:c r="F416" s="11" t="str">
        <x:v>MAT</x:v>
      </x:c>
      <x:c r="G416" s="11" t="str">
        <x:v>Falta de material</x:v>
      </x:c>
      <x:c r="H416" s="11" t="str">
        <x:v>Logística</x:v>
      </x:c>
      <x:c r="I416" s="11" t="n">
        <x:v>44</x:v>
      </x:c>
      <x:c r="J416" s="11" t="str">
        <x:v>Cerrada</x:v>
      </x:c>
      <x:c r="K416" s="11" t="str">
        <x:v>Inspección y liberación</x:v>
      </x:c>
    </x:row>
    <x:row r="417">
      <x:c r="A417" s="11" t="n">
        <x:v>416</x:v>
      </x:c>
      <x:c r="B417" s="11" t="str">
        <x:v>2026-08-19</x:v>
      </x:c>
      <x:c r="C417" s="11" t="str">
        <x:v>L4</x:v>
      </x:c>
      <x:c r="D417" s="11" t="str">
        <x:v>Etiquetado</x:v>
      </x:c>
      <x:c r="E417" s="11" t="str">
        <x:v>Matutino</x:v>
      </x:c>
      <x:c r="F417" s="11" t="str">
        <x:v>CAL</x:v>
      </x:c>
      <x:c r="G417" s="11" t="str">
        <x:v>Ajuste de calidad</x:v>
      </x:c>
      <x:c r="H417" s="11" t="str">
        <x:v>Calidad</x:v>
      </x:c>
      <x:c r="I417" s="11" t="n">
        <x:v>28</x:v>
      </x:c>
      <x:c r="J417" s="11" t="str">
        <x:v>Cerrada</x:v>
      </x:c>
      <x:c r="K417" s="11" t="str">
        <x:v>Reinicio controlado</x:v>
      </x:c>
    </x:row>
    <x:row r="418">
      <x:c r="A418" s="11" t="n">
        <x:v>417</x:v>
      </x:c>
      <x:c r="B418" s="11" t="str">
        <x:v>2026-08-19</x:v>
      </x:c>
      <x:c r="C418" s="11" t="str">
        <x:v>L4</x:v>
      </x:c>
      <x:c r="D418" s="11" t="str">
        <x:v>Etiquetado</x:v>
      </x:c>
      <x:c r="E418" s="11" t="str">
        <x:v>Vespertino</x:v>
      </x:c>
      <x:c r="F418" s="11" t="str">
        <x:v>MAT</x:v>
      </x:c>
      <x:c r="G418" s="11" t="str">
        <x:v>Falta de material</x:v>
      </x:c>
      <x:c r="H418" s="11" t="str">
        <x:v>Logística</x:v>
      </x:c>
      <x:c r="I418" s="11" t="n">
        <x:v>44</x:v>
      </x:c>
      <x:c r="J418" s="11" t="str">
        <x:v>Cerrada</x:v>
      </x:c>
      <x:c r="K418" s="11" t="str">
        <x:v>Inspección y liberación</x:v>
      </x:c>
    </x:row>
    <x:row r="419">
      <x:c r="A419" s="11" t="n">
        <x:v>418</x:v>
      </x:c>
      <x:c r="B419" s="11" t="str">
        <x:v>2026-08-20</x:v>
      </x:c>
      <x:c r="C419" s="11" t="str">
        <x:v>L1</x:v>
      </x:c>
      <x:c r="D419" s="11" t="str">
        <x:v>Envasado A</x:v>
      </x:c>
      <x:c r="E419" s="11" t="str">
        <x:v>Matutino</x:v>
      </x:c>
      <x:c r="F419" s="11" t="str">
        <x:v>CAM</x:v>
      </x:c>
      <x:c r="G419" s="11" t="str">
        <x:v>Cambio de formato</x:v>
      </x:c>
      <x:c r="H419" s="11" t="str">
        <x:v>Producción</x:v>
      </x:c>
      <x:c r="I419" s="11" t="n">
        <x:v>9</x:v>
      </x:c>
      <x:c r="J419" s="11" t="str">
        <x:v>Cerrada</x:v>
      </x:c>
      <x:c r="K419" s="11" t="str">
        <x:v>Ajuste y prueba</x:v>
      </x:c>
    </x:row>
    <x:row r="420">
      <x:c r="A420" s="11" t="n">
        <x:v>419</x:v>
      </x:c>
      <x:c r="B420" s="11" t="str">
        <x:v>2026-08-20</x:v>
      </x:c>
      <x:c r="C420" s="11" t="str">
        <x:v>L1</x:v>
      </x:c>
      <x:c r="D420" s="11" t="str">
        <x:v>Envasado A</x:v>
      </x:c>
      <x:c r="E420" s="11" t="str">
        <x:v>Vespertino</x:v>
      </x:c>
      <x:c r="F420" s="11" t="str">
        <x:v>CAM</x:v>
      </x:c>
      <x:c r="G420" s="11" t="str">
        <x:v>Cambio de formato</x:v>
      </x:c>
      <x:c r="H420" s="11" t="str">
        <x:v>Producción</x:v>
      </x:c>
      <x:c r="I420" s="11" t="n">
        <x:v>35</x:v>
      </x:c>
      <x:c r="J420" s="11" t="str">
        <x:v>Cerrada</x:v>
      </x:c>
      <x:c r="K420" s="11" t="str">
        <x:v>Abastecimiento</x:v>
      </x:c>
    </x:row>
    <x:row r="421">
      <x:c r="A421" s="11" t="n">
        <x:v>420</x:v>
      </x:c>
      <x:c r="B421" s="11" t="str">
        <x:v>2026-08-20</x:v>
      </x:c>
      <x:c r="C421" s="11" t="str">
        <x:v>L2</x:v>
      </x:c>
      <x:c r="D421" s="11" t="str">
        <x:v>Envasado B</x:v>
      </x:c>
      <x:c r="E421" s="11" t="str">
        <x:v>Matutino</x:v>
      </x:c>
      <x:c r="F421" s="11" t="str">
        <x:v>ELE</x:v>
      </x:c>
      <x:c r="G421" s="11" t="str">
        <x:v>Falla eléctrica</x:v>
      </x:c>
      <x:c r="H421" s="11" t="str">
        <x:v>Mantenimiento</x:v>
      </x:c>
      <x:c r="I421" s="11" t="n">
        <x:v>35</x:v>
      </x:c>
      <x:c r="J421" s="11" t="str">
        <x:v>Cerrada</x:v>
      </x:c>
      <x:c r="K421" s="11" t="str">
        <x:v>Abastecimiento</x:v>
      </x:c>
    </x:row>
    <x:row r="422">
      <x:c r="A422" s="11" t="n">
        <x:v>421</x:v>
      </x:c>
      <x:c r="B422" s="11" t="str">
        <x:v>2026-08-20</x:v>
      </x:c>
      <x:c r="C422" s="11" t="str">
        <x:v>L2</x:v>
      </x:c>
      <x:c r="D422" s="11" t="str">
        <x:v>Envasado B</x:v>
      </x:c>
      <x:c r="E422" s="11" t="str">
        <x:v>Matutino</x:v>
      </x:c>
      <x:c r="F422" s="11" t="str">
        <x:v>CAL</x:v>
      </x:c>
      <x:c r="G422" s="11" t="str">
        <x:v>Ajuste de calidad</x:v>
      </x:c>
      <x:c r="H422" s="11" t="str">
        <x:v>Calidad</x:v>
      </x:c>
      <x:c r="I422" s="11" t="n">
        <x:v>17</x:v>
      </x:c>
      <x:c r="J422" s="11" t="str">
        <x:v>Cerrada</x:v>
      </x:c>
      <x:c r="K422" s="11" t="str">
        <x:v>Ajuste y prueba</x:v>
      </x:c>
    </x:row>
    <x:row r="423">
      <x:c r="A423" s="11" t="n">
        <x:v>422</x:v>
      </x:c>
      <x:c r="B423" s="11" t="str">
        <x:v>2026-08-20</x:v>
      </x:c>
      <x:c r="C423" s="11" t="str">
        <x:v>L2</x:v>
      </x:c>
      <x:c r="D423" s="11" t="str">
        <x:v>Envasado B</x:v>
      </x:c>
      <x:c r="E423" s="11" t="str">
        <x:v>Vespertino</x:v>
      </x:c>
      <x:c r="F423" s="11" t="str">
        <x:v>MEC</x:v>
      </x:c>
      <x:c r="G423" s="11" t="str">
        <x:v>Falla mecánica</x:v>
      </x:c>
      <x:c r="H423" s="11" t="str">
        <x:v>Mantenimiento</x:v>
      </x:c>
      <x:c r="I423" s="11" t="n">
        <x:v>6</x:v>
      </x:c>
      <x:c r="J423" s="11" t="str">
        <x:v>Cerrada</x:v>
      </x:c>
      <x:c r="K423" s="11" t="str">
        <x:v>Reinicio controlado</x:v>
      </x:c>
    </x:row>
    <x:row r="424">
      <x:c r="A424" s="11" t="n">
        <x:v>423</x:v>
      </x:c>
      <x:c r="B424" s="11" t="str">
        <x:v>2026-08-20</x:v>
      </x:c>
      <x:c r="C424" s="11" t="str">
        <x:v>L3</x:v>
      </x:c>
      <x:c r="D424" s="11" t="str">
        <x:v>Empaque</x:v>
      </x:c>
      <x:c r="E424" s="11" t="str">
        <x:v>Matutino</x:v>
      </x:c>
      <x:c r="F424" s="11" t="str">
        <x:v>MAT</x:v>
      </x:c>
      <x:c r="G424" s="11" t="str">
        <x:v>Falta de material</x:v>
      </x:c>
      <x:c r="H424" s="11" t="str">
        <x:v>Logística</x:v>
      </x:c>
      <x:c r="I424" s="11" t="n">
        <x:v>18</x:v>
      </x:c>
      <x:c r="J424" s="11" t="str">
        <x:v>Cerrada</x:v>
      </x:c>
      <x:c r="K424" s="11" t="str">
        <x:v>Reinicio controlado</x:v>
      </x:c>
    </x:row>
    <x:row r="425">
      <x:c r="A425" s="11" t="n">
        <x:v>424</x:v>
      </x:c>
      <x:c r="B425" s="11" t="str">
        <x:v>2026-08-20</x:v>
      </x:c>
      <x:c r="C425" s="11" t="str">
        <x:v>L3</x:v>
      </x:c>
      <x:c r="D425" s="11" t="str">
        <x:v>Empaque</x:v>
      </x:c>
      <x:c r="E425" s="11" t="str">
        <x:v>Matutino</x:v>
      </x:c>
      <x:c r="F425" s="11" t="str">
        <x:v>CAL</x:v>
      </x:c>
      <x:c r="G425" s="11" t="str">
        <x:v>Ajuste de calidad</x:v>
      </x:c>
      <x:c r="H425" s="11" t="str">
        <x:v>Calidad</x:v>
      </x:c>
      <x:c r="I425" s="11" t="n">
        <x:v>36</x:v>
      </x:c>
      <x:c r="J425" s="11" t="str">
        <x:v>Cerrada</x:v>
      </x:c>
      <x:c r="K425" s="11" t="str">
        <x:v>Reinicio controlado</x:v>
      </x:c>
    </x:row>
    <x:row r="426">
      <x:c r="A426" s="11" t="n">
        <x:v>425</x:v>
      </x:c>
      <x:c r="B426" s="11" t="str">
        <x:v>2026-08-20</x:v>
      </x:c>
      <x:c r="C426" s="11" t="str">
        <x:v>L3</x:v>
      </x:c>
      <x:c r="D426" s="11" t="str">
        <x:v>Empaque</x:v>
      </x:c>
      <x:c r="E426" s="11" t="str">
        <x:v>Vespertino</x:v>
      </x:c>
      <x:c r="F426" s="11" t="str">
        <x:v>CAM</x:v>
      </x:c>
      <x:c r="G426" s="11" t="str">
        <x:v>Cambio de formato</x:v>
      </x:c>
      <x:c r="H426" s="11" t="str">
        <x:v>Producción</x:v>
      </x:c>
      <x:c r="I426" s="11" t="n">
        <x:v>7</x:v>
      </x:c>
      <x:c r="J426" s="11" t="str">
        <x:v>Cerrada</x:v>
      </x:c>
      <x:c r="K426" s="11" t="str">
        <x:v>Inspección y liberación</x:v>
      </x:c>
    </x:row>
    <x:row r="427">
      <x:c r="A427" s="11" t="n">
        <x:v>426</x:v>
      </x:c>
      <x:c r="B427" s="11" t="str">
        <x:v>2026-08-20</x:v>
      </x:c>
      <x:c r="C427" s="11" t="str">
        <x:v>L4</x:v>
      </x:c>
      <x:c r="D427" s="11" t="str">
        <x:v>Etiquetado</x:v>
      </x:c>
      <x:c r="E427" s="11" t="str">
        <x:v>Matutino</x:v>
      </x:c>
      <x:c r="F427" s="11" t="str">
        <x:v>ELE</x:v>
      </x:c>
      <x:c r="G427" s="11" t="str">
        <x:v>Falla eléctrica</x:v>
      </x:c>
      <x:c r="H427" s="11" t="str">
        <x:v>Mantenimiento</x:v>
      </x:c>
      <x:c r="I427" s="11" t="n">
        <x:v>21</x:v>
      </x:c>
      <x:c r="J427" s="11" t="str">
        <x:v>Cerrada</x:v>
      </x:c>
      <x:c r="K427" s="11" t="str">
        <x:v>Ajuste y prueba</x:v>
      </x:c>
    </x:row>
    <x:row r="428">
      <x:c r="A428" s="11" t="n">
        <x:v>427</x:v>
      </x:c>
      <x:c r="B428" s="11" t="str">
        <x:v>2026-08-20</x:v>
      </x:c>
      <x:c r="C428" s="11" t="str">
        <x:v>L4</x:v>
      </x:c>
      <x:c r="D428" s="11" t="str">
        <x:v>Etiquetado</x:v>
      </x:c>
      <x:c r="E428" s="11" t="str">
        <x:v>Matutino</x:v>
      </x:c>
      <x:c r="F428" s="11" t="str">
        <x:v>ELE</x:v>
      </x:c>
      <x:c r="G428" s="11" t="str">
        <x:v>Falla eléctrica</x:v>
      </x:c>
      <x:c r="H428" s="11" t="str">
        <x:v>Mantenimiento</x:v>
      </x:c>
      <x:c r="I428" s="11" t="n">
        <x:v>12</x:v>
      </x:c>
      <x:c r="J428" s="11" t="str">
        <x:v>Cerrada</x:v>
      </x:c>
      <x:c r="K428" s="11" t="str">
        <x:v>Ajuste y prueba</x:v>
      </x:c>
    </x:row>
    <x:row r="429">
      <x:c r="A429" s="11" t="n">
        <x:v>428</x:v>
      </x:c>
      <x:c r="B429" s="11" t="str">
        <x:v>2026-08-20</x:v>
      </x:c>
      <x:c r="C429" s="11" t="str">
        <x:v>L4</x:v>
      </x:c>
      <x:c r="D429" s="11" t="str">
        <x:v>Etiquetado</x:v>
      </x:c>
      <x:c r="E429" s="11" t="str">
        <x:v>Matutino</x:v>
      </x:c>
      <x:c r="F429" s="11" t="str">
        <x:v>ELE</x:v>
      </x:c>
      <x:c r="G429" s="11" t="str">
        <x:v>Falla eléctrica</x:v>
      </x:c>
      <x:c r="H429" s="11" t="str">
        <x:v>Mantenimiento</x:v>
      </x:c>
      <x:c r="I429" s="11" t="n">
        <x:v>18</x:v>
      </x:c>
      <x:c r="J429" s="11" t="str">
        <x:v>Cerrada</x:v>
      </x:c>
      <x:c r="K429" s="11" t="str">
        <x:v>Abastecimiento</x:v>
      </x:c>
    </x:row>
    <x:row r="430">
      <x:c r="A430" s="11" t="n">
        <x:v>429</x:v>
      </x:c>
      <x:c r="B430" s="11" t="str">
        <x:v>2026-08-20</x:v>
      </x:c>
      <x:c r="C430" s="11" t="str">
        <x:v>L4</x:v>
      </x:c>
      <x:c r="D430" s="11" t="str">
        <x:v>Etiquetado</x:v>
      </x:c>
      <x:c r="E430" s="11" t="str">
        <x:v>Vespertino</x:v>
      </x:c>
      <x:c r="F430" s="11" t="str">
        <x:v>MEC</x:v>
      </x:c>
      <x:c r="G430" s="11" t="str">
        <x:v>Falla mecánica</x:v>
      </x:c>
      <x:c r="H430" s="11" t="str">
        <x:v>Mantenimiento</x:v>
      </x:c>
      <x:c r="I430" s="11" t="n">
        <x:v>10</x:v>
      </x:c>
      <x:c r="J430" s="11" t="str">
        <x:v>Abierta</x:v>
      </x:c>
      <x:c r="K430" s="11" t="str">
        <x:v>Ajuste y prueba</x:v>
      </x:c>
    </x:row>
    <x:row r="431">
      <x:c r="A431" s="11" t="n">
        <x:v>430</x:v>
      </x:c>
      <x:c r="B431" s="11" t="str">
        <x:v>2026-08-21</x:v>
      </x:c>
      <x:c r="C431" s="11" t="str">
        <x:v>L1</x:v>
      </x:c>
      <x:c r="D431" s="11" t="str">
        <x:v>Envasado A</x:v>
      </x:c>
      <x:c r="E431" s="11" t="str">
        <x:v>Matutino</x:v>
      </x:c>
      <x:c r="F431" s="11" t="str">
        <x:v>CAM</x:v>
      </x:c>
      <x:c r="G431" s="11" t="str">
        <x:v>Cambio de formato</x:v>
      </x:c>
      <x:c r="H431" s="11" t="str">
        <x:v>Producción</x:v>
      </x:c>
      <x:c r="I431" s="11" t="n">
        <x:v>33</x:v>
      </x:c>
      <x:c r="J431" s="11" t="str">
        <x:v>Abierta</x:v>
      </x:c>
      <x:c r="K431" s="11" t="str">
        <x:v>Ajuste y prueba</x:v>
      </x:c>
    </x:row>
    <x:row r="432">
      <x:c r="A432" s="11" t="n">
        <x:v>431</x:v>
      </x:c>
      <x:c r="B432" s="11" t="str">
        <x:v>2026-08-21</x:v>
      </x:c>
      <x:c r="C432" s="11" t="str">
        <x:v>L1</x:v>
      </x:c>
      <x:c r="D432" s="11" t="str">
        <x:v>Envasado A</x:v>
      </x:c>
      <x:c r="E432" s="11" t="str">
        <x:v>Vespertino</x:v>
      </x:c>
      <x:c r="F432" s="11" t="str">
        <x:v>CAM</x:v>
      </x:c>
      <x:c r="G432" s="11" t="str">
        <x:v>Cambio de formato</x:v>
      </x:c>
      <x:c r="H432" s="11" t="str">
        <x:v>Producción</x:v>
      </x:c>
      <x:c r="I432" s="11" t="n">
        <x:v>14</x:v>
      </x:c>
      <x:c r="J432" s="11" t="str">
        <x:v>Abierta</x:v>
      </x:c>
      <x:c r="K432" s="11" t="str">
        <x:v>Ajuste y prueba</x:v>
      </x:c>
    </x:row>
    <x:row r="433">
      <x:c r="A433" s="11" t="n">
        <x:v>432</x:v>
      </x:c>
      <x:c r="B433" s="11" t="str">
        <x:v>2026-08-21</x:v>
      </x:c>
      <x:c r="C433" s="11" t="str">
        <x:v>L2</x:v>
      </x:c>
      <x:c r="D433" s="11" t="str">
        <x:v>Envasado B</x:v>
      </x:c>
      <x:c r="E433" s="11" t="str">
        <x:v>Matutino</x:v>
      </x:c>
      <x:c r="F433" s="11" t="str">
        <x:v>MAT</x:v>
      </x:c>
      <x:c r="G433" s="11" t="str">
        <x:v>Falta de material</x:v>
      </x:c>
      <x:c r="H433" s="11" t="str">
        <x:v>Logística</x:v>
      </x:c>
      <x:c r="I433" s="11" t="n">
        <x:v>40</x:v>
      </x:c>
      <x:c r="J433" s="11" t="str">
        <x:v>Cerrada</x:v>
      </x:c>
      <x:c r="K433" s="11" t="str">
        <x:v>Ajuste y prueba</x:v>
      </x:c>
    </x:row>
    <x:row r="434">
      <x:c r="A434" s="11" t="n">
        <x:v>433</x:v>
      </x:c>
      <x:c r="B434" s="11" t="str">
        <x:v>2026-08-21</x:v>
      </x:c>
      <x:c r="C434" s="11" t="str">
        <x:v>L2</x:v>
      </x:c>
      <x:c r="D434" s="11" t="str">
        <x:v>Envasado B</x:v>
      </x:c>
      <x:c r="E434" s="11" t="str">
        <x:v>Vespertino</x:v>
      </x:c>
      <x:c r="F434" s="11" t="str">
        <x:v>CAM</x:v>
      </x:c>
      <x:c r="G434" s="11" t="str">
        <x:v>Cambio de formato</x:v>
      </x:c>
      <x:c r="H434" s="11" t="str">
        <x:v>Producción</x:v>
      </x:c>
      <x:c r="I434" s="11" t="n">
        <x:v>31</x:v>
      </x:c>
      <x:c r="J434" s="11" t="str">
        <x:v>Cerrada</x:v>
      </x:c>
      <x:c r="K434" s="11" t="str">
        <x:v>Cambio de componente</x:v>
      </x:c>
    </x:row>
    <x:row r="435">
      <x:c r="A435" s="11" t="n">
        <x:v>434</x:v>
      </x:c>
      <x:c r="B435" s="11" t="str">
        <x:v>2026-08-21</x:v>
      </x:c>
      <x:c r="C435" s="11" t="str">
        <x:v>L3</x:v>
      </x:c>
      <x:c r="D435" s="11" t="str">
        <x:v>Empaque</x:v>
      </x:c>
      <x:c r="E435" s="11" t="str">
        <x:v>Matutino</x:v>
      </x:c>
      <x:c r="F435" s="11" t="str">
        <x:v>ELE</x:v>
      </x:c>
      <x:c r="G435" s="11" t="str">
        <x:v>Falla eléctrica</x:v>
      </x:c>
      <x:c r="H435" s="11" t="str">
        <x:v>Mantenimiento</x:v>
      </x:c>
      <x:c r="I435" s="11" t="n">
        <x:v>4</x:v>
      </x:c>
      <x:c r="J435" s="11" t="str">
        <x:v>Cerrada</x:v>
      </x:c>
      <x:c r="K435" s="11" t="str">
        <x:v>Abastecimiento</x:v>
      </x:c>
    </x:row>
    <x:row r="436">
      <x:c r="A436" s="11" t="n">
        <x:v>435</x:v>
      </x:c>
      <x:c r="B436" s="11" t="str">
        <x:v>2026-08-21</x:v>
      </x:c>
      <x:c r="C436" s="11" t="str">
        <x:v>L3</x:v>
      </x:c>
      <x:c r="D436" s="11" t="str">
        <x:v>Empaque</x:v>
      </x:c>
      <x:c r="E436" s="11" t="str">
        <x:v>Vespertino</x:v>
      </x:c>
      <x:c r="F436" s="11" t="str">
        <x:v>ELE</x:v>
      </x:c>
      <x:c r="G436" s="11" t="str">
        <x:v>Falla eléctrica</x:v>
      </x:c>
      <x:c r="H436" s="11" t="str">
        <x:v>Mantenimiento</x:v>
      </x:c>
      <x:c r="I436" s="11" t="n">
        <x:v>3</x:v>
      </x:c>
      <x:c r="J436" s="11" t="str">
        <x:v>Cerrada</x:v>
      </x:c>
      <x:c r="K436" s="11" t="str">
        <x:v>Inspección y liberación</x:v>
      </x:c>
    </x:row>
    <x:row r="437">
      <x:c r="A437" s="11" t="n">
        <x:v>436</x:v>
      </x:c>
      <x:c r="B437" s="11" t="str">
        <x:v>2026-08-21</x:v>
      </x:c>
      <x:c r="C437" s="11" t="str">
        <x:v>L4</x:v>
      </x:c>
      <x:c r="D437" s="11" t="str">
        <x:v>Etiquetado</x:v>
      </x:c>
      <x:c r="E437" s="11" t="str">
        <x:v>Matutino</x:v>
      </x:c>
      <x:c r="F437" s="11" t="str">
        <x:v>ELE</x:v>
      </x:c>
      <x:c r="G437" s="11" t="str">
        <x:v>Falla eléctrica</x:v>
      </x:c>
      <x:c r="H437" s="11" t="str">
        <x:v>Mantenimiento</x:v>
      </x:c>
      <x:c r="I437" s="11" t="n">
        <x:v>36</x:v>
      </x:c>
      <x:c r="J437" s="11" t="str">
        <x:v>Abierta</x:v>
      </x:c>
      <x:c r="K437" s="11" t="str">
        <x:v>Ajuste y prueba</x:v>
      </x:c>
    </x:row>
    <x:row r="438">
      <x:c r="A438" s="11" t="n">
        <x:v>437</x:v>
      </x:c>
      <x:c r="B438" s="11" t="str">
        <x:v>2026-08-22</x:v>
      </x:c>
      <x:c r="C438" s="11" t="str">
        <x:v>L1</x:v>
      </x:c>
      <x:c r="D438" s="11" t="str">
        <x:v>Envasado A</x:v>
      </x:c>
      <x:c r="E438" s="11" t="str">
        <x:v>Matutino</x:v>
      </x:c>
      <x:c r="F438" s="11" t="str">
        <x:v>MAT</x:v>
      </x:c>
      <x:c r="G438" s="11" t="str">
        <x:v>Falta de material</x:v>
      </x:c>
      <x:c r="H438" s="11" t="str">
        <x:v>Logística</x:v>
      </x:c>
      <x:c r="I438" s="11" t="n">
        <x:v>35</x:v>
      </x:c>
      <x:c r="J438" s="11" t="str">
        <x:v>Cerrada</x:v>
      </x:c>
      <x:c r="K438" s="11" t="str">
        <x:v>Abastecimiento</x:v>
      </x:c>
    </x:row>
    <x:row r="439">
      <x:c r="A439" s="11" t="n">
        <x:v>438</x:v>
      </x:c>
      <x:c r="B439" s="11" t="str">
        <x:v>2026-08-22</x:v>
      </x:c>
      <x:c r="C439" s="11" t="str">
        <x:v>L1</x:v>
      </x:c>
      <x:c r="D439" s="11" t="str">
        <x:v>Envasado A</x:v>
      </x:c>
      <x:c r="E439" s="11" t="str">
        <x:v>Matutino</x:v>
      </x:c>
      <x:c r="F439" s="11" t="str">
        <x:v>CAL</x:v>
      </x:c>
      <x:c r="G439" s="11" t="str">
        <x:v>Ajuste de calidad</x:v>
      </x:c>
      <x:c r="H439" s="11" t="str">
        <x:v>Calidad</x:v>
      </x:c>
      <x:c r="I439" s="11" t="n">
        <x:v>17</x:v>
      </x:c>
      <x:c r="J439" s="11" t="str">
        <x:v>Cerrada</x:v>
      </x:c>
      <x:c r="K439" s="11" t="str">
        <x:v>Inspección y liberación</x:v>
      </x:c>
    </x:row>
    <x:row r="440">
      <x:c r="A440" s="11" t="n">
        <x:v>439</x:v>
      </x:c>
      <x:c r="B440" s="11" t="str">
        <x:v>2026-08-22</x:v>
      </x:c>
      <x:c r="C440" s="11" t="str">
        <x:v>L1</x:v>
      </x:c>
      <x:c r="D440" s="11" t="str">
        <x:v>Envasado A</x:v>
      </x:c>
      <x:c r="E440" s="11" t="str">
        <x:v>Vespertino</x:v>
      </x:c>
      <x:c r="F440" s="11" t="str">
        <x:v>CAM</x:v>
      </x:c>
      <x:c r="G440" s="11" t="str">
        <x:v>Cambio de formato</x:v>
      </x:c>
      <x:c r="H440" s="11" t="str">
        <x:v>Producción</x:v>
      </x:c>
      <x:c r="I440" s="11" t="n">
        <x:v>20</x:v>
      </x:c>
      <x:c r="J440" s="11" t="str">
        <x:v>Cerrada</x:v>
      </x:c>
      <x:c r="K440" s="11" t="str">
        <x:v>Inspección y liberación</x:v>
      </x:c>
    </x:row>
    <x:row r="441">
      <x:c r="A441" s="11" t="n">
        <x:v>440</x:v>
      </x:c>
      <x:c r="B441" s="11" t="str">
        <x:v>2026-08-22</x:v>
      </x:c>
      <x:c r="C441" s="11" t="str">
        <x:v>L2</x:v>
      </x:c>
      <x:c r="D441" s="11" t="str">
        <x:v>Envasado B</x:v>
      </x:c>
      <x:c r="E441" s="11" t="str">
        <x:v>Vespertino</x:v>
      </x:c>
      <x:c r="F441" s="11" t="str">
        <x:v>ELE</x:v>
      </x:c>
      <x:c r="G441" s="11" t="str">
        <x:v>Falla eléctrica</x:v>
      </x:c>
      <x:c r="H441" s="11" t="str">
        <x:v>Mantenimiento</x:v>
      </x:c>
      <x:c r="I441" s="11" t="n">
        <x:v>6</x:v>
      </x:c>
      <x:c r="J441" s="11" t="str">
        <x:v>Cerrada</x:v>
      </x:c>
      <x:c r="K441" s="11" t="str">
        <x:v>Inspección y liberación</x:v>
      </x:c>
    </x:row>
    <x:row r="442">
      <x:c r="A442" s="11" t="n">
        <x:v>441</x:v>
      </x:c>
      <x:c r="B442" s="11" t="str">
        <x:v>2026-08-22</x:v>
      </x:c>
      <x:c r="C442" s="11" t="str">
        <x:v>L3</x:v>
      </x:c>
      <x:c r="D442" s="11" t="str">
        <x:v>Empaque</x:v>
      </x:c>
      <x:c r="E442" s="11" t="str">
        <x:v>Matutino</x:v>
      </x:c>
      <x:c r="F442" s="11" t="str">
        <x:v>CAL</x:v>
      </x:c>
      <x:c r="G442" s="11" t="str">
        <x:v>Ajuste de calidad</x:v>
      </x:c>
      <x:c r="H442" s="11" t="str">
        <x:v>Calidad</x:v>
      </x:c>
      <x:c r="I442" s="11" t="n">
        <x:v>24</x:v>
      </x:c>
      <x:c r="J442" s="11" t="str">
        <x:v>Cerrada</x:v>
      </x:c>
      <x:c r="K442" s="11" t="str">
        <x:v>Reinicio controlado</x:v>
      </x:c>
    </x:row>
    <x:row r="443">
      <x:c r="A443" s="11" t="n">
        <x:v>442</x:v>
      </x:c>
      <x:c r="B443" s="11" t="str">
        <x:v>2026-08-22</x:v>
      </x:c>
      <x:c r="C443" s="11" t="str">
        <x:v>L3</x:v>
      </x:c>
      <x:c r="D443" s="11" t="str">
        <x:v>Empaque</x:v>
      </x:c>
      <x:c r="E443" s="11" t="str">
        <x:v>Matutino</x:v>
      </x:c>
      <x:c r="F443" s="11" t="str">
        <x:v>CAL</x:v>
      </x:c>
      <x:c r="G443" s="11" t="str">
        <x:v>Ajuste de calidad</x:v>
      </x:c>
      <x:c r="H443" s="11" t="str">
        <x:v>Calidad</x:v>
      </x:c>
      <x:c r="I443" s="11" t="n">
        <x:v>17</x:v>
      </x:c>
      <x:c r="J443" s="11" t="str">
        <x:v>Cerrada</x:v>
      </x:c>
      <x:c r="K443" s="11" t="str">
        <x:v>Ajuste y prueba</x:v>
      </x:c>
    </x:row>
    <x:row r="444">
      <x:c r="A444" s="11" t="n">
        <x:v>443</x:v>
      </x:c>
      <x:c r="B444" s="11" t="str">
        <x:v>2026-08-22</x:v>
      </x:c>
      <x:c r="C444" s="11" t="str">
        <x:v>L3</x:v>
      </x:c>
      <x:c r="D444" s="11" t="str">
        <x:v>Empaque</x:v>
      </x:c>
      <x:c r="E444" s="11" t="str">
        <x:v>Matutino</x:v>
      </x:c>
      <x:c r="F444" s="11" t="str">
        <x:v>CAM</x:v>
      </x:c>
      <x:c r="G444" s="11" t="str">
        <x:v>Cambio de formato</x:v>
      </x:c>
      <x:c r="H444" s="11" t="str">
        <x:v>Producción</x:v>
      </x:c>
      <x:c r="I444" s="11" t="n">
        <x:v>5</x:v>
      </x:c>
      <x:c r="J444" s="11" t="str">
        <x:v>Cerrada</x:v>
      </x:c>
      <x:c r="K444" s="11" t="str">
        <x:v>Reinicio controlado</x:v>
      </x:c>
    </x:row>
    <x:row r="445">
      <x:c r="A445" s="11" t="n">
        <x:v>444</x:v>
      </x:c>
      <x:c r="B445" s="11" t="str">
        <x:v>2026-08-22</x:v>
      </x:c>
      <x:c r="C445" s="11" t="str">
        <x:v>L3</x:v>
      </x:c>
      <x:c r="D445" s="11" t="str">
        <x:v>Empaque</x:v>
      </x:c>
      <x:c r="E445" s="11" t="str">
        <x:v>Vespertino</x:v>
      </x:c>
      <x:c r="F445" s="11" t="str">
        <x:v>ELE</x:v>
      </x:c>
      <x:c r="G445" s="11" t="str">
        <x:v>Falla eléctrica</x:v>
      </x:c>
      <x:c r="H445" s="11" t="str">
        <x:v>Mantenimiento</x:v>
      </x:c>
      <x:c r="I445" s="11" t="n">
        <x:v>16</x:v>
      </x:c>
      <x:c r="J445" s="11" t="str">
        <x:v>Cerrada</x:v>
      </x:c>
      <x:c r="K445" s="11" t="str">
        <x:v>Ajuste y prueba</x:v>
      </x:c>
    </x:row>
    <x:row r="446">
      <x:c r="A446" s="11" t="n">
        <x:v>445</x:v>
      </x:c>
      <x:c r="B446" s="11" t="str">
        <x:v>2026-08-22</x:v>
      </x:c>
      <x:c r="C446" s="11" t="str">
        <x:v>L3</x:v>
      </x:c>
      <x:c r="D446" s="11" t="str">
        <x:v>Empaque</x:v>
      </x:c>
      <x:c r="E446" s="11" t="str">
        <x:v>Vespertino</x:v>
      </x:c>
      <x:c r="F446" s="11" t="str">
        <x:v>CAL</x:v>
      </x:c>
      <x:c r="G446" s="11" t="str">
        <x:v>Ajuste de calidad</x:v>
      </x:c>
      <x:c r="H446" s="11" t="str">
        <x:v>Calidad</x:v>
      </x:c>
      <x:c r="I446" s="11" t="n">
        <x:v>8</x:v>
      </x:c>
      <x:c r="J446" s="11" t="str">
        <x:v>Cerrada</x:v>
      </x:c>
      <x:c r="K446" s="11" t="str">
        <x:v>Reinicio controlado</x:v>
      </x:c>
    </x:row>
    <x:row r="447">
      <x:c r="A447" s="11" t="n">
        <x:v>446</x:v>
      </x:c>
      <x:c r="B447" s="11" t="str">
        <x:v>2026-08-22</x:v>
      </x:c>
      <x:c r="C447" s="11" t="str">
        <x:v>L3</x:v>
      </x:c>
      <x:c r="D447" s="11" t="str">
        <x:v>Empaque</x:v>
      </x:c>
      <x:c r="E447" s="11" t="str">
        <x:v>Vespertino</x:v>
      </x:c>
      <x:c r="F447" s="11" t="str">
        <x:v>MAT</x:v>
      </x:c>
      <x:c r="G447" s="11" t="str">
        <x:v>Falta de material</x:v>
      </x:c>
      <x:c r="H447" s="11" t="str">
        <x:v>Logística</x:v>
      </x:c>
      <x:c r="I447" s="11" t="n">
        <x:v>31</x:v>
      </x:c>
      <x:c r="J447" s="11" t="str">
        <x:v>Cerrada</x:v>
      </x:c>
      <x:c r="K447" s="11" t="str">
        <x:v>Inspección y liberación</x:v>
      </x:c>
    </x:row>
    <x:row r="448">
      <x:c r="A448" s="11" t="n">
        <x:v>447</x:v>
      </x:c>
      <x:c r="B448" s="11" t="str">
        <x:v>2026-08-22</x:v>
      </x:c>
      <x:c r="C448" s="11" t="str">
        <x:v>L4</x:v>
      </x:c>
      <x:c r="D448" s="11" t="str">
        <x:v>Etiquetado</x:v>
      </x:c>
      <x:c r="E448" s="11" t="str">
        <x:v>Matutino</x:v>
      </x:c>
      <x:c r="F448" s="11" t="str">
        <x:v>MEC</x:v>
      </x:c>
      <x:c r="G448" s="11" t="str">
        <x:v>Falla mecánica</x:v>
      </x:c>
      <x:c r="H448" s="11" t="str">
        <x:v>Mantenimiento</x:v>
      </x:c>
      <x:c r="I448" s="11" t="n">
        <x:v>20</x:v>
      </x:c>
      <x:c r="J448" s="11" t="str">
        <x:v>Cerrada</x:v>
      </x:c>
      <x:c r="K448" s="11" t="str">
        <x:v>Abastecimiento</x:v>
      </x:c>
    </x:row>
    <x:row r="449">
      <x:c r="A449" s="11" t="n">
        <x:v>448</x:v>
      </x:c>
      <x:c r="B449" s="11" t="str">
        <x:v>2026-08-23</x:v>
      </x:c>
      <x:c r="C449" s="11" t="str">
        <x:v>L1</x:v>
      </x:c>
      <x:c r="D449" s="11" t="str">
        <x:v>Envasado A</x:v>
      </x:c>
      <x:c r="E449" s="11" t="str">
        <x:v>Matutino</x:v>
      </x:c>
      <x:c r="F449" s="11" t="str">
        <x:v>MAT</x:v>
      </x:c>
      <x:c r="G449" s="11" t="str">
        <x:v>Falta de material</x:v>
      </x:c>
      <x:c r="H449" s="11" t="str">
        <x:v>Logística</x:v>
      </x:c>
      <x:c r="I449" s="11" t="n">
        <x:v>16</x:v>
      </x:c>
      <x:c r="J449" s="11" t="str">
        <x:v>Abierta</x:v>
      </x:c>
      <x:c r="K449" s="11" t="str">
        <x:v>Abastecimiento</x:v>
      </x:c>
    </x:row>
    <x:row r="450">
      <x:c r="A450" s="11" t="n">
        <x:v>449</x:v>
      </x:c>
      <x:c r="B450" s="11" t="str">
        <x:v>2026-08-23</x:v>
      </x:c>
      <x:c r="C450" s="11" t="str">
        <x:v>L2</x:v>
      </x:c>
      <x:c r="D450" s="11" t="str">
        <x:v>Envasado B</x:v>
      </x:c>
      <x:c r="E450" s="11" t="str">
        <x:v>Matutino</x:v>
      </x:c>
      <x:c r="F450" s="11" t="str">
        <x:v>MAT</x:v>
      </x:c>
      <x:c r="G450" s="11" t="str">
        <x:v>Falta de material</x:v>
      </x:c>
      <x:c r="H450" s="11" t="str">
        <x:v>Logística</x:v>
      </x:c>
      <x:c r="I450" s="11" t="n">
        <x:v>13</x:v>
      </x:c>
      <x:c r="J450" s="11" t="str">
        <x:v>Cerrada</x:v>
      </x:c>
      <x:c r="K450" s="11" t="str">
        <x:v>Ajuste y prueba</x:v>
      </x:c>
    </x:row>
    <x:row r="451">
      <x:c r="A451" s="11" t="n">
        <x:v>450</x:v>
      </x:c>
      <x:c r="B451" s="11" t="str">
        <x:v>2026-08-23</x:v>
      </x:c>
      <x:c r="C451" s="11" t="str">
        <x:v>L2</x:v>
      </x:c>
      <x:c r="D451" s="11" t="str">
        <x:v>Envasado B</x:v>
      </x:c>
      <x:c r="E451" s="11" t="str">
        <x:v>Vespertino</x:v>
      </x:c>
      <x:c r="F451" s="11" t="str">
        <x:v>CAL</x:v>
      </x:c>
      <x:c r="G451" s="11" t="str">
        <x:v>Ajuste de calidad</x:v>
      </x:c>
      <x:c r="H451" s="11" t="str">
        <x:v>Calidad</x:v>
      </x:c>
      <x:c r="I451" s="11" t="n">
        <x:v>24</x:v>
      </x:c>
      <x:c r="J451" s="11" t="str">
        <x:v>Cerrada</x:v>
      </x:c>
      <x:c r="K451" s="11" t="str">
        <x:v>Cambio de componente</x:v>
      </x:c>
    </x:row>
    <x:row r="452">
      <x:c r="A452" s="11" t="n">
        <x:v>451</x:v>
      </x:c>
      <x:c r="B452" s="11" t="str">
        <x:v>2026-08-24</x:v>
      </x:c>
      <x:c r="C452" s="11" t="str">
        <x:v>L1</x:v>
      </x:c>
      <x:c r="D452" s="11" t="str">
        <x:v>Envasado A</x:v>
      </x:c>
      <x:c r="E452" s="11" t="str">
        <x:v>Vespertino</x:v>
      </x:c>
      <x:c r="F452" s="11" t="str">
        <x:v>CAM</x:v>
      </x:c>
      <x:c r="G452" s="11" t="str">
        <x:v>Cambio de formato</x:v>
      </x:c>
      <x:c r="H452" s="11" t="str">
        <x:v>Producción</x:v>
      </x:c>
      <x:c r="I452" s="11" t="n">
        <x:v>10</x:v>
      </x:c>
      <x:c r="J452" s="11" t="str">
        <x:v>Cerrada</x:v>
      </x:c>
      <x:c r="K452" s="11" t="str">
        <x:v>Abastecimiento</x:v>
      </x:c>
    </x:row>
    <x:row r="453">
      <x:c r="A453" s="11" t="n">
        <x:v>452</x:v>
      </x:c>
      <x:c r="B453" s="11" t="str">
        <x:v>2026-08-24</x:v>
      </x:c>
      <x:c r="C453" s="11" t="str">
        <x:v>L2</x:v>
      </x:c>
      <x:c r="D453" s="11" t="str">
        <x:v>Envasado B</x:v>
      </x:c>
      <x:c r="E453" s="11" t="str">
        <x:v>Matutino</x:v>
      </x:c>
      <x:c r="F453" s="11" t="str">
        <x:v>ELE</x:v>
      </x:c>
      <x:c r="G453" s="11" t="str">
        <x:v>Falla eléctrica</x:v>
      </x:c>
      <x:c r="H453" s="11" t="str">
        <x:v>Mantenimiento</x:v>
      </x:c>
      <x:c r="I453" s="11" t="n">
        <x:v>23</x:v>
      </x:c>
      <x:c r="J453" s="11" t="str">
        <x:v>Cerrada</x:v>
      </x:c>
      <x:c r="K453" s="11" t="str">
        <x:v>Abastecimiento</x:v>
      </x:c>
    </x:row>
    <x:row r="454">
      <x:c r="A454" s="11" t="n">
        <x:v>453</x:v>
      </x:c>
      <x:c r="B454" s="11" t="str">
        <x:v>2026-08-24</x:v>
      </x:c>
      <x:c r="C454" s="11" t="str">
        <x:v>L2</x:v>
      </x:c>
      <x:c r="D454" s="11" t="str">
        <x:v>Envasado B</x:v>
      </x:c>
      <x:c r="E454" s="11" t="str">
        <x:v>Vespertino</x:v>
      </x:c>
      <x:c r="F454" s="11" t="str">
        <x:v>CAM</x:v>
      </x:c>
      <x:c r="G454" s="11" t="str">
        <x:v>Cambio de formato</x:v>
      </x:c>
      <x:c r="H454" s="11" t="str">
        <x:v>Producción</x:v>
      </x:c>
      <x:c r="I454" s="11" t="n">
        <x:v>8</x:v>
      </x:c>
      <x:c r="J454" s="11" t="str">
        <x:v>Cerrada</x:v>
      </x:c>
      <x:c r="K454" s="11" t="str">
        <x:v>Reinicio controlado</x:v>
      </x:c>
    </x:row>
    <x:row r="455">
      <x:c r="A455" s="11" t="n">
        <x:v>454</x:v>
      </x:c>
      <x:c r="B455" s="11" t="str">
        <x:v>2026-08-24</x:v>
      </x:c>
      <x:c r="C455" s="11" t="str">
        <x:v>L3</x:v>
      </x:c>
      <x:c r="D455" s="11" t="str">
        <x:v>Empaque</x:v>
      </x:c>
      <x:c r="E455" s="11" t="str">
        <x:v>Matutino</x:v>
      </x:c>
      <x:c r="F455" s="11" t="str">
        <x:v>MEC</x:v>
      </x:c>
      <x:c r="G455" s="11" t="str">
        <x:v>Falla mecánica</x:v>
      </x:c>
      <x:c r="H455" s="11" t="str">
        <x:v>Mantenimiento</x:v>
      </x:c>
      <x:c r="I455" s="11" t="n">
        <x:v>24</x:v>
      </x:c>
      <x:c r="J455" s="11" t="str">
        <x:v>Cerrada</x:v>
      </x:c>
      <x:c r="K455" s="11" t="str">
        <x:v>Cambio de componente</x:v>
      </x:c>
    </x:row>
    <x:row r="456">
      <x:c r="A456" s="11" t="n">
        <x:v>455</x:v>
      </x:c>
      <x:c r="B456" s="11" t="str">
        <x:v>2026-08-24</x:v>
      </x:c>
      <x:c r="C456" s="11" t="str">
        <x:v>L3</x:v>
      </x:c>
      <x:c r="D456" s="11" t="str">
        <x:v>Empaque</x:v>
      </x:c>
      <x:c r="E456" s="11" t="str">
        <x:v>Vespertino</x:v>
      </x:c>
      <x:c r="F456" s="11" t="str">
        <x:v>CAL</x:v>
      </x:c>
      <x:c r="G456" s="11" t="str">
        <x:v>Ajuste de calidad</x:v>
      </x:c>
      <x:c r="H456" s="11" t="str">
        <x:v>Calidad</x:v>
      </x:c>
      <x:c r="I456" s="11" t="n">
        <x:v>38</x:v>
      </x:c>
      <x:c r="J456" s="11" t="str">
        <x:v>Cerrada</x:v>
      </x:c>
      <x:c r="K456" s="11" t="str">
        <x:v>Reinicio controlado</x:v>
      </x:c>
    </x:row>
    <x:row r="457">
      <x:c r="A457" s="11" t="n">
        <x:v>456</x:v>
      </x:c>
      <x:c r="B457" s="11" t="str">
        <x:v>2026-08-24</x:v>
      </x:c>
      <x:c r="C457" s="11" t="str">
        <x:v>L4</x:v>
      </x:c>
      <x:c r="D457" s="11" t="str">
        <x:v>Etiquetado</x:v>
      </x:c>
      <x:c r="E457" s="11" t="str">
        <x:v>Matutino</x:v>
      </x:c>
      <x:c r="F457" s="11" t="str">
        <x:v>CAL</x:v>
      </x:c>
      <x:c r="G457" s="11" t="str">
        <x:v>Ajuste de calidad</x:v>
      </x:c>
      <x:c r="H457" s="11" t="str">
        <x:v>Calidad</x:v>
      </x:c>
      <x:c r="I457" s="11" t="n">
        <x:v>23</x:v>
      </x:c>
      <x:c r="J457" s="11" t="str">
        <x:v>Cerrada</x:v>
      </x:c>
      <x:c r="K457" s="11" t="str">
        <x:v>Abastecimiento</x:v>
      </x:c>
    </x:row>
    <x:row r="458">
      <x:c r="A458" s="11" t="n">
        <x:v>457</x:v>
      </x:c>
      <x:c r="B458" s="11" t="str">
        <x:v>2026-08-24</x:v>
      </x:c>
      <x:c r="C458" s="11" t="str">
        <x:v>L4</x:v>
      </x:c>
      <x:c r="D458" s="11" t="str">
        <x:v>Etiquetado</x:v>
      </x:c>
      <x:c r="E458" s="11" t="str">
        <x:v>Vespertino</x:v>
      </x:c>
      <x:c r="F458" s="11" t="str">
        <x:v>MEC</x:v>
      </x:c>
      <x:c r="G458" s="11" t="str">
        <x:v>Falla mecánica</x:v>
      </x:c>
      <x:c r="H458" s="11" t="str">
        <x:v>Mantenimiento</x:v>
      </x:c>
      <x:c r="I458" s="11" t="n">
        <x:v>35</x:v>
      </x:c>
      <x:c r="J458" s="11" t="str">
        <x:v>Cerrada</x:v>
      </x:c>
      <x:c r="K458" s="11" t="str">
        <x:v>Cambio de componente</x:v>
      </x:c>
    </x:row>
    <x:row r="459">
      <x:c r="A459" s="11" t="n">
        <x:v>458</x:v>
      </x:c>
      <x:c r="B459" s="11" t="str">
        <x:v>2026-08-24</x:v>
      </x:c>
      <x:c r="C459" s="11" t="str">
        <x:v>L4</x:v>
      </x:c>
      <x:c r="D459" s="11" t="str">
        <x:v>Etiquetado</x:v>
      </x:c>
      <x:c r="E459" s="11" t="str">
        <x:v>Vespertino</x:v>
      </x:c>
      <x:c r="F459" s="11" t="str">
        <x:v>MAT</x:v>
      </x:c>
      <x:c r="G459" s="11" t="str">
        <x:v>Falta de material</x:v>
      </x:c>
      <x:c r="H459" s="11" t="str">
        <x:v>Logística</x:v>
      </x:c>
      <x:c r="I459" s="11" t="n">
        <x:v>11</x:v>
      </x:c>
      <x:c r="J459" s="11" t="str">
        <x:v>Abierta</x:v>
      </x:c>
      <x:c r="K459" s="11" t="str">
        <x:v>Abastecimiento</x:v>
      </x:c>
    </x:row>
    <x:row r="460">
      <x:c r="A460" s="11" t="n">
        <x:v>459</x:v>
      </x:c>
      <x:c r="B460" s="11" t="str">
        <x:v>2026-08-25</x:v>
      </x:c>
      <x:c r="C460" s="11" t="str">
        <x:v>L1</x:v>
      </x:c>
      <x:c r="D460" s="11" t="str">
        <x:v>Envasado A</x:v>
      </x:c>
      <x:c r="E460" s="11" t="str">
        <x:v>Matutino</x:v>
      </x:c>
      <x:c r="F460" s="11" t="str">
        <x:v>CAL</x:v>
      </x:c>
      <x:c r="G460" s="11" t="str">
        <x:v>Ajuste de calidad</x:v>
      </x:c>
      <x:c r="H460" s="11" t="str">
        <x:v>Calidad</x:v>
      </x:c>
      <x:c r="I460" s="11" t="n">
        <x:v>2</x:v>
      </x:c>
      <x:c r="J460" s="11" t="str">
        <x:v>Cerrada</x:v>
      </x:c>
      <x:c r="K460" s="11" t="str">
        <x:v>Reinicio controlado</x:v>
      </x:c>
    </x:row>
    <x:row r="461">
      <x:c r="A461" s="11" t="n">
        <x:v>460</x:v>
      </x:c>
      <x:c r="B461" s="11" t="str">
        <x:v>2026-08-25</x:v>
      </x:c>
      <x:c r="C461" s="11" t="str">
        <x:v>L1</x:v>
      </x:c>
      <x:c r="D461" s="11" t="str">
        <x:v>Envasado A</x:v>
      </x:c>
      <x:c r="E461" s="11" t="str">
        <x:v>Vespertino</x:v>
      </x:c>
      <x:c r="F461" s="11" t="str">
        <x:v>CAL</x:v>
      </x:c>
      <x:c r="G461" s="11" t="str">
        <x:v>Ajuste de calidad</x:v>
      </x:c>
      <x:c r="H461" s="11" t="str">
        <x:v>Calidad</x:v>
      </x:c>
      <x:c r="I461" s="11" t="n">
        <x:v>32</x:v>
      </x:c>
      <x:c r="J461" s="11" t="str">
        <x:v>Cerrada</x:v>
      </x:c>
      <x:c r="K461" s="11" t="str">
        <x:v>Cambio de componente</x:v>
      </x:c>
    </x:row>
    <x:row r="462">
      <x:c r="A462" s="11" t="n">
        <x:v>461</x:v>
      </x:c>
      <x:c r="B462" s="11" t="str">
        <x:v>2026-08-25</x:v>
      </x:c>
      <x:c r="C462" s="11" t="str">
        <x:v>L2</x:v>
      </x:c>
      <x:c r="D462" s="11" t="str">
        <x:v>Envasado B</x:v>
      </x:c>
      <x:c r="E462" s="11" t="str">
        <x:v>Matutino</x:v>
      </x:c>
      <x:c r="F462" s="11" t="str">
        <x:v>MAT</x:v>
      </x:c>
      <x:c r="G462" s="11" t="str">
        <x:v>Falta de material</x:v>
      </x:c>
      <x:c r="H462" s="11" t="str">
        <x:v>Logística</x:v>
      </x:c>
      <x:c r="I462" s="11" t="n">
        <x:v>3</x:v>
      </x:c>
      <x:c r="J462" s="11" t="str">
        <x:v>Abierta</x:v>
      </x:c>
      <x:c r="K462" s="11" t="str">
        <x:v>Cambio de componente</x:v>
      </x:c>
    </x:row>
    <x:row r="463">
      <x:c r="A463" s="11" t="n">
        <x:v>462</x:v>
      </x:c>
      <x:c r="B463" s="11" t="str">
        <x:v>2026-08-25</x:v>
      </x:c>
      <x:c r="C463" s="11" t="str">
        <x:v>L3</x:v>
      </x:c>
      <x:c r="D463" s="11" t="str">
        <x:v>Empaque</x:v>
      </x:c>
      <x:c r="E463" s="11" t="str">
        <x:v>Matutino</x:v>
      </x:c>
      <x:c r="F463" s="11" t="str">
        <x:v>MEC</x:v>
      </x:c>
      <x:c r="G463" s="11" t="str">
        <x:v>Falla mecánica</x:v>
      </x:c>
      <x:c r="H463" s="11" t="str">
        <x:v>Mantenimiento</x:v>
      </x:c>
      <x:c r="I463" s="11" t="n">
        <x:v>31</x:v>
      </x:c>
      <x:c r="J463" s="11" t="str">
        <x:v>Abierta</x:v>
      </x:c>
      <x:c r="K463" s="11" t="str">
        <x:v>Cambio de componente</x:v>
      </x:c>
    </x:row>
    <x:row r="464">
      <x:c r="A464" s="11" t="n">
        <x:v>463</x:v>
      </x:c>
      <x:c r="B464" s="11" t="str">
        <x:v>2026-08-25</x:v>
      </x:c>
      <x:c r="C464" s="11" t="str">
        <x:v>L4</x:v>
      </x:c>
      <x:c r="D464" s="11" t="str">
        <x:v>Etiquetado</x:v>
      </x:c>
      <x:c r="E464" s="11" t="str">
        <x:v>Matutino</x:v>
      </x:c>
      <x:c r="F464" s="11" t="str">
        <x:v>MEC</x:v>
      </x:c>
      <x:c r="G464" s="11" t="str">
        <x:v>Falla mecánica</x:v>
      </x:c>
      <x:c r="H464" s="11" t="str">
        <x:v>Mantenimiento</x:v>
      </x:c>
      <x:c r="I464" s="11" t="n">
        <x:v>13</x:v>
      </x:c>
      <x:c r="J464" s="11" t="str">
        <x:v>Cerrada</x:v>
      </x:c>
      <x:c r="K464" s="11" t="str">
        <x:v>Reinicio controlado</x:v>
      </x:c>
    </x:row>
    <x:row r="465">
      <x:c r="A465" s="11" t="n">
        <x:v>464</x:v>
      </x:c>
      <x:c r="B465" s="11" t="str">
        <x:v>2026-08-25</x:v>
      </x:c>
      <x:c r="C465" s="11" t="str">
        <x:v>L4</x:v>
      </x:c>
      <x:c r="D465" s="11" t="str">
        <x:v>Etiquetado</x:v>
      </x:c>
      <x:c r="E465" s="11" t="str">
        <x:v>Vespertino</x:v>
      </x:c>
      <x:c r="F465" s="11" t="str">
        <x:v>ELE</x:v>
      </x:c>
      <x:c r="G465" s="11" t="str">
        <x:v>Falla eléctrica</x:v>
      </x:c>
      <x:c r="H465" s="11" t="str">
        <x:v>Mantenimiento</x:v>
      </x:c>
      <x:c r="I465" s="11" t="n">
        <x:v>21</x:v>
      </x:c>
      <x:c r="J465" s="11" t="str">
        <x:v>Cerrada</x:v>
      </x:c>
      <x:c r="K465" s="11" t="str">
        <x:v>Ajuste y prueba</x:v>
      </x:c>
    </x:row>
    <x:row r="466">
      <x:c r="A466" s="11" t="n">
        <x:v>465</x:v>
      </x:c>
      <x:c r="B466" s="11" t="str">
        <x:v>2026-08-26</x:v>
      </x:c>
      <x:c r="C466" s="11" t="str">
        <x:v>L1</x:v>
      </x:c>
      <x:c r="D466" s="11" t="str">
        <x:v>Envasado A</x:v>
      </x:c>
      <x:c r="E466" s="11" t="str">
        <x:v>Matutino</x:v>
      </x:c>
      <x:c r="F466" s="11" t="str">
        <x:v>ELE</x:v>
      </x:c>
      <x:c r="G466" s="11" t="str">
        <x:v>Falla eléctrica</x:v>
      </x:c>
      <x:c r="H466" s="11" t="str">
        <x:v>Mantenimiento</x:v>
      </x:c>
      <x:c r="I466" s="11" t="n">
        <x:v>40</x:v>
      </x:c>
      <x:c r="J466" s="11" t="str">
        <x:v>Abierta</x:v>
      </x:c>
      <x:c r="K466" s="11" t="str">
        <x:v>Cambio de componente</x:v>
      </x:c>
    </x:row>
    <x:row r="467">
      <x:c r="A467" s="11" t="n">
        <x:v>466</x:v>
      </x:c>
      <x:c r="B467" s="11" t="str">
        <x:v>2026-08-26</x:v>
      </x:c>
      <x:c r="C467" s="11" t="str">
        <x:v>L1</x:v>
      </x:c>
      <x:c r="D467" s="11" t="str">
        <x:v>Envasado A</x:v>
      </x:c>
      <x:c r="E467" s="11" t="str">
        <x:v>Vespertino</x:v>
      </x:c>
      <x:c r="F467" s="11" t="str">
        <x:v>MEC</x:v>
      </x:c>
      <x:c r="G467" s="11" t="str">
        <x:v>Falla mecánica</x:v>
      </x:c>
      <x:c r="H467" s="11" t="str">
        <x:v>Mantenimiento</x:v>
      </x:c>
      <x:c r="I467" s="11" t="n">
        <x:v>42</x:v>
      </x:c>
      <x:c r="J467" s="11" t="str">
        <x:v>Cerrada</x:v>
      </x:c>
      <x:c r="K467" s="11" t="str">
        <x:v>Cambio de componente</x:v>
      </x:c>
    </x:row>
    <x:row r="468">
      <x:c r="A468" s="11" t="n">
        <x:v>467</x:v>
      </x:c>
      <x:c r="B468" s="11" t="str">
        <x:v>2026-08-26</x:v>
      </x:c>
      <x:c r="C468" s="11" t="str">
        <x:v>L2</x:v>
      </x:c>
      <x:c r="D468" s="11" t="str">
        <x:v>Envasado B</x:v>
      </x:c>
      <x:c r="E468" s="11" t="str">
        <x:v>Matutino</x:v>
      </x:c>
      <x:c r="F468" s="11" t="str">
        <x:v>MAT</x:v>
      </x:c>
      <x:c r="G468" s="11" t="str">
        <x:v>Falta de material</x:v>
      </x:c>
      <x:c r="H468" s="11" t="str">
        <x:v>Logística</x:v>
      </x:c>
      <x:c r="I468" s="11" t="n">
        <x:v>3</x:v>
      </x:c>
      <x:c r="J468" s="11" t="str">
        <x:v>Cerrada</x:v>
      </x:c>
      <x:c r="K468" s="11" t="str">
        <x:v>Reinicio controlado</x:v>
      </x:c>
    </x:row>
    <x:row r="469">
      <x:c r="A469" s="11" t="n">
        <x:v>468</x:v>
      </x:c>
      <x:c r="B469" s="11" t="str">
        <x:v>2026-08-26</x:v>
      </x:c>
      <x:c r="C469" s="11" t="str">
        <x:v>L2</x:v>
      </x:c>
      <x:c r="D469" s="11" t="str">
        <x:v>Envasado B</x:v>
      </x:c>
      <x:c r="E469" s="11" t="str">
        <x:v>Vespertino</x:v>
      </x:c>
      <x:c r="F469" s="11" t="str">
        <x:v>CAM</x:v>
      </x:c>
      <x:c r="G469" s="11" t="str">
        <x:v>Cambio de formato</x:v>
      </x:c>
      <x:c r="H469" s="11" t="str">
        <x:v>Producción</x:v>
      </x:c>
      <x:c r="I469" s="11" t="n">
        <x:v>41</x:v>
      </x:c>
      <x:c r="J469" s="11" t="str">
        <x:v>Cerrada</x:v>
      </x:c>
      <x:c r="K469" s="11" t="str">
        <x:v>Abastecimiento</x:v>
      </x:c>
    </x:row>
    <x:row r="470">
      <x:c r="A470" s="11" t="n">
        <x:v>469</x:v>
      </x:c>
      <x:c r="B470" s="11" t="str">
        <x:v>2026-08-26</x:v>
      </x:c>
      <x:c r="C470" s="11" t="str">
        <x:v>L3</x:v>
      </x:c>
      <x:c r="D470" s="11" t="str">
        <x:v>Empaque</x:v>
      </x:c>
      <x:c r="E470" s="11" t="str">
        <x:v>Matutino</x:v>
      </x:c>
      <x:c r="F470" s="11" t="str">
        <x:v>MEC</x:v>
      </x:c>
      <x:c r="G470" s="11" t="str">
        <x:v>Falla mecánica</x:v>
      </x:c>
      <x:c r="H470" s="11" t="str">
        <x:v>Mantenimiento</x:v>
      </x:c>
      <x:c r="I470" s="11" t="n">
        <x:v>20</x:v>
      </x:c>
      <x:c r="J470" s="11" t="str">
        <x:v>Cerrada</x:v>
      </x:c>
      <x:c r="K470" s="11" t="str">
        <x:v>Ajuste y prueba</x:v>
      </x:c>
    </x:row>
    <x:row r="471">
      <x:c r="A471" s="11" t="n">
        <x:v>470</x:v>
      </x:c>
      <x:c r="B471" s="11" t="str">
        <x:v>2026-08-26</x:v>
      </x:c>
      <x:c r="C471" s="11" t="str">
        <x:v>L3</x:v>
      </x:c>
      <x:c r="D471" s="11" t="str">
        <x:v>Empaque</x:v>
      </x:c>
      <x:c r="E471" s="11" t="str">
        <x:v>Vespertino</x:v>
      </x:c>
      <x:c r="F471" s="11" t="str">
        <x:v>ELE</x:v>
      </x:c>
      <x:c r="G471" s="11" t="str">
        <x:v>Falla eléctrica</x:v>
      </x:c>
      <x:c r="H471" s="11" t="str">
        <x:v>Mantenimiento</x:v>
      </x:c>
      <x:c r="I471" s="11" t="n">
        <x:v>44</x:v>
      </x:c>
      <x:c r="J471" s="11" t="str">
        <x:v>Abierta</x:v>
      </x:c>
      <x:c r="K471" s="11" t="str">
        <x:v>Reinicio controlado</x:v>
      </x:c>
    </x:row>
    <x:row r="472">
      <x:c r="A472" s="11" t="n">
        <x:v>471</x:v>
      </x:c>
      <x:c r="B472" s="11" t="str">
        <x:v>2026-08-26</x:v>
      </x:c>
      <x:c r="C472" s="11" t="str">
        <x:v>L4</x:v>
      </x:c>
      <x:c r="D472" s="11" t="str">
        <x:v>Etiquetado</x:v>
      </x:c>
      <x:c r="E472" s="11" t="str">
        <x:v>Matutino</x:v>
      </x:c>
      <x:c r="F472" s="11" t="str">
        <x:v>CAM</x:v>
      </x:c>
      <x:c r="G472" s="11" t="str">
        <x:v>Cambio de formato</x:v>
      </x:c>
      <x:c r="H472" s="11" t="str">
        <x:v>Producción</x:v>
      </x:c>
      <x:c r="I472" s="11" t="n">
        <x:v>8</x:v>
      </x:c>
      <x:c r="J472" s="11" t="str">
        <x:v>Abierta</x:v>
      </x:c>
      <x:c r="K472" s="11" t="str">
        <x:v>Inspección y liberación</x:v>
      </x:c>
    </x:row>
    <x:row r="473">
      <x:c r="A473" s="11" t="n">
        <x:v>472</x:v>
      </x:c>
      <x:c r="B473" s="11" t="str">
        <x:v>2026-08-26</x:v>
      </x:c>
      <x:c r="C473" s="11" t="str">
        <x:v>L4</x:v>
      </x:c>
      <x:c r="D473" s="11" t="str">
        <x:v>Etiquetado</x:v>
      </x:c>
      <x:c r="E473" s="11" t="str">
        <x:v>Vespertino</x:v>
      </x:c>
      <x:c r="F473" s="11" t="str">
        <x:v>CAM</x:v>
      </x:c>
      <x:c r="G473" s="11" t="str">
        <x:v>Cambio de formato</x:v>
      </x:c>
      <x:c r="H473" s="11" t="str">
        <x:v>Producción</x:v>
      </x:c>
      <x:c r="I473" s="11" t="n">
        <x:v>32</x:v>
      </x:c>
      <x:c r="J473" s="11" t="str">
        <x:v>Cerrada</x:v>
      </x:c>
      <x:c r="K473" s="11" t="str">
        <x:v>Cambio de componente</x:v>
      </x:c>
    </x:row>
    <x:row r="474">
      <x:c r="A474" s="11" t="n">
        <x:v>473</x:v>
      </x:c>
      <x:c r="B474" s="11" t="str">
        <x:v>2026-08-27</x:v>
      </x:c>
      <x:c r="C474" s="11" t="str">
        <x:v>L1</x:v>
      </x:c>
      <x:c r="D474" s="11" t="str">
        <x:v>Envasado A</x:v>
      </x:c>
      <x:c r="E474" s="11" t="str">
        <x:v>Matutino</x:v>
      </x:c>
      <x:c r="F474" s="11" t="str">
        <x:v>MAT</x:v>
      </x:c>
      <x:c r="G474" s="11" t="str">
        <x:v>Falta de material</x:v>
      </x:c>
      <x:c r="H474" s="11" t="str">
        <x:v>Logística</x:v>
      </x:c>
      <x:c r="I474" s="11" t="n">
        <x:v>16</x:v>
      </x:c>
      <x:c r="J474" s="11" t="str">
        <x:v>Cerrada</x:v>
      </x:c>
      <x:c r="K474" s="11" t="str">
        <x:v>Ajuste y prueba</x:v>
      </x:c>
    </x:row>
    <x:row r="475">
      <x:c r="A475" s="11" t="n">
        <x:v>474</x:v>
      </x:c>
      <x:c r="B475" s="11" t="str">
        <x:v>2026-08-27</x:v>
      </x:c>
      <x:c r="C475" s="11" t="str">
        <x:v>L1</x:v>
      </x:c>
      <x:c r="D475" s="11" t="str">
        <x:v>Envasado A</x:v>
      </x:c>
      <x:c r="E475" s="11" t="str">
        <x:v>Vespertino</x:v>
      </x:c>
      <x:c r="F475" s="11" t="str">
        <x:v>MEC</x:v>
      </x:c>
      <x:c r="G475" s="11" t="str">
        <x:v>Falla mecánica</x:v>
      </x:c>
      <x:c r="H475" s="11" t="str">
        <x:v>Mantenimiento</x:v>
      </x:c>
      <x:c r="I475" s="11" t="n">
        <x:v>20</x:v>
      </x:c>
      <x:c r="J475" s="11" t="str">
        <x:v>Cerrada</x:v>
      </x:c>
      <x:c r="K475" s="11" t="str">
        <x:v>Abastecimiento</x:v>
      </x:c>
    </x:row>
    <x:row r="476">
      <x:c r="A476" s="11" t="n">
        <x:v>475</x:v>
      </x:c>
      <x:c r="B476" s="11" t="str">
        <x:v>2026-08-27</x:v>
      </x:c>
      <x:c r="C476" s="11" t="str">
        <x:v>L2</x:v>
      </x:c>
      <x:c r="D476" s="11" t="str">
        <x:v>Envasado B</x:v>
      </x:c>
      <x:c r="E476" s="11" t="str">
        <x:v>Matutino</x:v>
      </x:c>
      <x:c r="F476" s="11" t="str">
        <x:v>CAM</x:v>
      </x:c>
      <x:c r="G476" s="11" t="str">
        <x:v>Cambio de formato</x:v>
      </x:c>
      <x:c r="H476" s="11" t="str">
        <x:v>Producción</x:v>
      </x:c>
      <x:c r="I476" s="11" t="n">
        <x:v>4</x:v>
      </x:c>
      <x:c r="J476" s="11" t="str">
        <x:v>Cerrada</x:v>
      </x:c>
      <x:c r="K476" s="11" t="str">
        <x:v>Ajuste y prueba</x:v>
      </x:c>
    </x:row>
    <x:row r="477">
      <x:c r="A477" s="11" t="n">
        <x:v>476</x:v>
      </x:c>
      <x:c r="B477" s="11" t="str">
        <x:v>2026-08-27</x:v>
      </x:c>
      <x:c r="C477" s="11" t="str">
        <x:v>L2</x:v>
      </x:c>
      <x:c r="D477" s="11" t="str">
        <x:v>Envasado B</x:v>
      </x:c>
      <x:c r="E477" s="11" t="str">
        <x:v>Vespertino</x:v>
      </x:c>
      <x:c r="F477" s="11" t="str">
        <x:v>ELE</x:v>
      </x:c>
      <x:c r="G477" s="11" t="str">
        <x:v>Falla eléctrica</x:v>
      </x:c>
      <x:c r="H477" s="11" t="str">
        <x:v>Mantenimiento</x:v>
      </x:c>
      <x:c r="I477" s="11" t="n">
        <x:v>8</x:v>
      </x:c>
      <x:c r="J477" s="11" t="str">
        <x:v>Cerrada</x:v>
      </x:c>
      <x:c r="K477" s="11" t="str">
        <x:v>Ajuste y prueba</x:v>
      </x:c>
    </x:row>
    <x:row r="478">
      <x:c r="A478" s="11" t="n">
        <x:v>477</x:v>
      </x:c>
      <x:c r="B478" s="11" t="str">
        <x:v>2026-08-27</x:v>
      </x:c>
      <x:c r="C478" s="11" t="str">
        <x:v>L3</x:v>
      </x:c>
      <x:c r="D478" s="11" t="str">
        <x:v>Empaque</x:v>
      </x:c>
      <x:c r="E478" s="11" t="str">
        <x:v>Matutino</x:v>
      </x:c>
      <x:c r="F478" s="11" t="str">
        <x:v>CAL</x:v>
      </x:c>
      <x:c r="G478" s="11" t="str">
        <x:v>Ajuste de calidad</x:v>
      </x:c>
      <x:c r="H478" s="11" t="str">
        <x:v>Calidad</x:v>
      </x:c>
      <x:c r="I478" s="11" t="n">
        <x:v>1</x:v>
      </x:c>
      <x:c r="J478" s="11" t="str">
        <x:v>Cerrada</x:v>
      </x:c>
      <x:c r="K478" s="11" t="str">
        <x:v>Abastecimiento</x:v>
      </x:c>
    </x:row>
    <x:row r="479">
      <x:c r="A479" s="11" t="n">
        <x:v>478</x:v>
      </x:c>
      <x:c r="B479" s="11" t="str">
        <x:v>2026-08-27</x:v>
      </x:c>
      <x:c r="C479" s="11" t="str">
        <x:v>L3</x:v>
      </x:c>
      <x:c r="D479" s="11" t="str">
        <x:v>Empaque</x:v>
      </x:c>
      <x:c r="E479" s="11" t="str">
        <x:v>Vespertino</x:v>
      </x:c>
      <x:c r="F479" s="11" t="str">
        <x:v>MAT</x:v>
      </x:c>
      <x:c r="G479" s="11" t="str">
        <x:v>Falta de material</x:v>
      </x:c>
      <x:c r="H479" s="11" t="str">
        <x:v>Logística</x:v>
      </x:c>
      <x:c r="I479" s="11" t="n">
        <x:v>29</x:v>
      </x:c>
      <x:c r="J479" s="11" t="str">
        <x:v>Cerrada</x:v>
      </x:c>
      <x:c r="K479" s="11" t="str">
        <x:v>Cambio de componente</x:v>
      </x:c>
    </x:row>
    <x:row r="480">
      <x:c r="A480" s="11" t="n">
        <x:v>479</x:v>
      </x:c>
      <x:c r="B480" s="11" t="str">
        <x:v>2026-08-27</x:v>
      </x:c>
      <x:c r="C480" s="11" t="str">
        <x:v>L3</x:v>
      </x:c>
      <x:c r="D480" s="11" t="str">
        <x:v>Empaque</x:v>
      </x:c>
      <x:c r="E480" s="11" t="str">
        <x:v>Vespertino</x:v>
      </x:c>
      <x:c r="F480" s="11" t="str">
        <x:v>MEC</x:v>
      </x:c>
      <x:c r="G480" s="11" t="str">
        <x:v>Falla mecánica</x:v>
      </x:c>
      <x:c r="H480" s="11" t="str">
        <x:v>Mantenimiento</x:v>
      </x:c>
      <x:c r="I480" s="11" t="n">
        <x:v>28</x:v>
      </x:c>
      <x:c r="J480" s="11" t="str">
        <x:v>Abierta</x:v>
      </x:c>
      <x:c r="K480" s="11" t="str">
        <x:v>Reinicio controlado</x:v>
      </x:c>
    </x:row>
    <x:row r="481">
      <x:c r="A481" s="11" t="n">
        <x:v>480</x:v>
      </x:c>
      <x:c r="B481" s="11" t="str">
        <x:v>2026-08-27</x:v>
      </x:c>
      <x:c r="C481" s="11" t="str">
        <x:v>L3</x:v>
      </x:c>
      <x:c r="D481" s="11" t="str">
        <x:v>Empaque</x:v>
      </x:c>
      <x:c r="E481" s="11" t="str">
        <x:v>Vespertino</x:v>
      </x:c>
      <x:c r="F481" s="11" t="str">
        <x:v>CAM</x:v>
      </x:c>
      <x:c r="G481" s="11" t="str">
        <x:v>Cambio de formato</x:v>
      </x:c>
      <x:c r="H481" s="11" t="str">
        <x:v>Producción</x:v>
      </x:c>
      <x:c r="I481" s="11" t="n">
        <x:v>8</x:v>
      </x:c>
      <x:c r="J481" s="11" t="str">
        <x:v>Cerrada</x:v>
      </x:c>
      <x:c r="K481" s="11" t="str">
        <x:v>Cambio de componente</x:v>
      </x:c>
    </x:row>
    <x:row r="482">
      <x:c r="A482" s="11" t="n">
        <x:v>481</x:v>
      </x:c>
      <x:c r="B482" s="11" t="str">
        <x:v>2026-08-27</x:v>
      </x:c>
      <x:c r="C482" s="11" t="str">
        <x:v>L4</x:v>
      </x:c>
      <x:c r="D482" s="11" t="str">
        <x:v>Etiquetado</x:v>
      </x:c>
      <x:c r="E482" s="11" t="str">
        <x:v>Matutino</x:v>
      </x:c>
      <x:c r="F482" s="11" t="str">
        <x:v>MAT</x:v>
      </x:c>
      <x:c r="G482" s="11" t="str">
        <x:v>Falta de material</x:v>
      </x:c>
      <x:c r="H482" s="11" t="str">
        <x:v>Logística</x:v>
      </x:c>
      <x:c r="I482" s="11" t="n">
        <x:v>15</x:v>
      </x:c>
      <x:c r="J482" s="11" t="str">
        <x:v>Abierta</x:v>
      </x:c>
      <x:c r="K482" s="11" t="str">
        <x:v>Cambio de componente</x:v>
      </x:c>
    </x:row>
    <x:row r="483">
      <x:c r="A483" s="11" t="n">
        <x:v>482</x:v>
      </x:c>
      <x:c r="B483" s="11" t="str">
        <x:v>2026-08-27</x:v>
      </x:c>
      <x:c r="C483" s="11" t="str">
        <x:v>L4</x:v>
      </x:c>
      <x:c r="D483" s="11" t="str">
        <x:v>Etiquetado</x:v>
      </x:c>
      <x:c r="E483" s="11" t="str">
        <x:v>Vespertino</x:v>
      </x:c>
      <x:c r="F483" s="11" t="str">
        <x:v>MEC</x:v>
      </x:c>
      <x:c r="G483" s="11" t="str">
        <x:v>Falla mecánica</x:v>
      </x:c>
      <x:c r="H483" s="11" t="str">
        <x:v>Mantenimiento</x:v>
      </x:c>
      <x:c r="I483" s="11" t="n">
        <x:v>9</x:v>
      </x:c>
      <x:c r="J483" s="11" t="str">
        <x:v>Cerrada</x:v>
      </x:c>
      <x:c r="K483" s="11" t="str">
        <x:v>Abastecimiento</x:v>
      </x:c>
    </x:row>
    <x:row r="484">
      <x:c r="A484" s="11" t="n">
        <x:v>483</x:v>
      </x:c>
      <x:c r="B484" s="11" t="str">
        <x:v>2026-08-28</x:v>
      </x:c>
      <x:c r="C484" s="11" t="str">
        <x:v>L1</x:v>
      </x:c>
      <x:c r="D484" s="11" t="str">
        <x:v>Envasado A</x:v>
      </x:c>
      <x:c r="E484" s="11" t="str">
        <x:v>Matutino</x:v>
      </x:c>
      <x:c r="F484" s="11" t="str">
        <x:v>MAT</x:v>
      </x:c>
      <x:c r="G484" s="11" t="str">
        <x:v>Falta de material</x:v>
      </x:c>
      <x:c r="H484" s="11" t="str">
        <x:v>Logística</x:v>
      </x:c>
      <x:c r="I484" s="11" t="n">
        <x:v>36</x:v>
      </x:c>
      <x:c r="J484" s="11" t="str">
        <x:v>Abierta</x:v>
      </x:c>
      <x:c r="K484" s="11" t="str">
        <x:v>Cambio de componente</x:v>
      </x:c>
    </x:row>
    <x:row r="485">
      <x:c r="A485" s="11" t="n">
        <x:v>484</x:v>
      </x:c>
      <x:c r="B485" s="11" t="str">
        <x:v>2026-08-28</x:v>
      </x:c>
      <x:c r="C485" s="11" t="str">
        <x:v>L1</x:v>
      </x:c>
      <x:c r="D485" s="11" t="str">
        <x:v>Envasado A</x:v>
      </x:c>
      <x:c r="E485" s="11" t="str">
        <x:v>Vespertino</x:v>
      </x:c>
      <x:c r="F485" s="11" t="str">
        <x:v>MAT</x:v>
      </x:c>
      <x:c r="G485" s="11" t="str">
        <x:v>Falta de material</x:v>
      </x:c>
      <x:c r="H485" s="11" t="str">
        <x:v>Logística</x:v>
      </x:c>
      <x:c r="I485" s="11" t="n">
        <x:v>25</x:v>
      </x:c>
      <x:c r="J485" s="11" t="str">
        <x:v>Abierta</x:v>
      </x:c>
      <x:c r="K485" s="11" t="str">
        <x:v>Abastecimiento</x:v>
      </x:c>
    </x:row>
    <x:row r="486">
      <x:c r="A486" s="11" t="n">
        <x:v>485</x:v>
      </x:c>
      <x:c r="B486" s="11" t="str">
        <x:v>2026-08-28</x:v>
      </x:c>
      <x:c r="C486" s="11" t="str">
        <x:v>L3</x:v>
      </x:c>
      <x:c r="D486" s="11" t="str">
        <x:v>Empaque</x:v>
      </x:c>
      <x:c r="E486" s="11" t="str">
        <x:v>Matutino</x:v>
      </x:c>
      <x:c r="F486" s="11" t="str">
        <x:v>MEC</x:v>
      </x:c>
      <x:c r="G486" s="11" t="str">
        <x:v>Falla mecánica</x:v>
      </x:c>
      <x:c r="H486" s="11" t="str">
        <x:v>Mantenimiento</x:v>
      </x:c>
      <x:c r="I486" s="11" t="n">
        <x:v>8</x:v>
      </x:c>
      <x:c r="J486" s="11" t="str">
        <x:v>Cerrada</x:v>
      </x:c>
      <x:c r="K486" s="11" t="str">
        <x:v>Inspección y liberación</x:v>
      </x:c>
    </x:row>
    <x:row r="487">
      <x:c r="A487" s="11" t="n">
        <x:v>486</x:v>
      </x:c>
      <x:c r="B487" s="11" t="str">
        <x:v>2026-08-28</x:v>
      </x:c>
      <x:c r="C487" s="11" t="str">
        <x:v>L3</x:v>
      </x:c>
      <x:c r="D487" s="11" t="str">
        <x:v>Empaque</x:v>
      </x:c>
      <x:c r="E487" s="11" t="str">
        <x:v>Matutino</x:v>
      </x:c>
      <x:c r="F487" s="11" t="str">
        <x:v>ELE</x:v>
      </x:c>
      <x:c r="G487" s="11" t="str">
        <x:v>Falla eléctrica</x:v>
      </x:c>
      <x:c r="H487" s="11" t="str">
        <x:v>Mantenimiento</x:v>
      </x:c>
      <x:c r="I487" s="11" t="n">
        <x:v>44</x:v>
      </x:c>
      <x:c r="J487" s="11" t="str">
        <x:v>Cerrada</x:v>
      </x:c>
      <x:c r="K487" s="11" t="str">
        <x:v>Ajuste y prueba</x:v>
      </x:c>
    </x:row>
    <x:row r="488">
      <x:c r="A488" s="11" t="n">
        <x:v>487</x:v>
      </x:c>
      <x:c r="B488" s="11" t="str">
        <x:v>2026-08-28</x:v>
      </x:c>
      <x:c r="C488" s="11" t="str">
        <x:v>L3</x:v>
      </x:c>
      <x:c r="D488" s="11" t="str">
        <x:v>Empaque</x:v>
      </x:c>
      <x:c r="E488" s="11" t="str">
        <x:v>Vespertino</x:v>
      </x:c>
      <x:c r="F488" s="11" t="str">
        <x:v>ELE</x:v>
      </x:c>
      <x:c r="G488" s="11" t="str">
        <x:v>Falla eléctrica</x:v>
      </x:c>
      <x:c r="H488" s="11" t="str">
        <x:v>Mantenimiento</x:v>
      </x:c>
      <x:c r="I488" s="11" t="n">
        <x:v>41</x:v>
      </x:c>
      <x:c r="J488" s="11" t="str">
        <x:v>Cerrada</x:v>
      </x:c>
      <x:c r="K488" s="11" t="str">
        <x:v>Abastecimiento</x:v>
      </x:c>
    </x:row>
    <x:row r="489">
      <x:c r="A489" s="11" t="n">
        <x:v>488</x:v>
      </x:c>
      <x:c r="B489" s="11" t="str">
        <x:v>2026-08-28</x:v>
      </x:c>
      <x:c r="C489" s="11" t="str">
        <x:v>L4</x:v>
      </x:c>
      <x:c r="D489" s="11" t="str">
        <x:v>Etiquetado</x:v>
      </x:c>
      <x:c r="E489" s="11" t="str">
        <x:v>Matutino</x:v>
      </x:c>
      <x:c r="F489" s="11" t="str">
        <x:v>CAL</x:v>
      </x:c>
      <x:c r="G489" s="11" t="str">
        <x:v>Ajuste de calidad</x:v>
      </x:c>
      <x:c r="H489" s="11" t="str">
        <x:v>Calidad</x:v>
      </x:c>
      <x:c r="I489" s="11" t="n">
        <x:v>49</x:v>
      </x:c>
      <x:c r="J489" s="11" t="str">
        <x:v>Cerrada</x:v>
      </x:c>
      <x:c r="K489" s="11" t="str">
        <x:v>Ajuste y prueba</x:v>
      </x:c>
    </x:row>
    <x:row r="490">
      <x:c r="A490" s="11" t="n">
        <x:v>489</x:v>
      </x:c>
      <x:c r="B490" s="11" t="str">
        <x:v>2026-08-29</x:v>
      </x:c>
      <x:c r="C490" s="11" t="str">
        <x:v>L1</x:v>
      </x:c>
      <x:c r="D490" s="11" t="str">
        <x:v>Envasado A</x:v>
      </x:c>
      <x:c r="E490" s="11" t="str">
        <x:v>Matutino</x:v>
      </x:c>
      <x:c r="F490" s="11" t="str">
        <x:v>MEC</x:v>
      </x:c>
      <x:c r="G490" s="11" t="str">
        <x:v>Falla mecánica</x:v>
      </x:c>
      <x:c r="H490" s="11" t="str">
        <x:v>Mantenimiento</x:v>
      </x:c>
      <x:c r="I490" s="11" t="n">
        <x:v>16</x:v>
      </x:c>
      <x:c r="J490" s="11" t="str">
        <x:v>Cerrada</x:v>
      </x:c>
      <x:c r="K490" s="11" t="str">
        <x:v>Cambio de componente</x:v>
      </x:c>
    </x:row>
    <x:row r="491">
      <x:c r="A491" s="11" t="n">
        <x:v>490</x:v>
      </x:c>
      <x:c r="B491" s="11" t="str">
        <x:v>2026-08-29</x:v>
      </x:c>
      <x:c r="C491" s="11" t="str">
        <x:v>L1</x:v>
      </x:c>
      <x:c r="D491" s="11" t="str">
        <x:v>Envasado A</x:v>
      </x:c>
      <x:c r="E491" s="11" t="str">
        <x:v>Vespertino</x:v>
      </x:c>
      <x:c r="F491" s="11" t="str">
        <x:v>ELE</x:v>
      </x:c>
      <x:c r="G491" s="11" t="str">
        <x:v>Falla eléctrica</x:v>
      </x:c>
      <x:c r="H491" s="11" t="str">
        <x:v>Mantenimiento</x:v>
      </x:c>
      <x:c r="I491" s="11" t="n">
        <x:v>52</x:v>
      </x:c>
      <x:c r="J491" s="11" t="str">
        <x:v>Cerrada</x:v>
      </x:c>
      <x:c r="K491" s="11" t="str">
        <x:v>Cambio de componente</x:v>
      </x:c>
    </x:row>
    <x:row r="492">
      <x:c r="A492" s="11" t="n">
        <x:v>491</x:v>
      </x:c>
      <x:c r="B492" s="11" t="str">
        <x:v>2026-08-29</x:v>
      </x:c>
      <x:c r="C492" s="11" t="str">
        <x:v>L2</x:v>
      </x:c>
      <x:c r="D492" s="11" t="str">
        <x:v>Envasado B</x:v>
      </x:c>
      <x:c r="E492" s="11" t="str">
        <x:v>Matutino</x:v>
      </x:c>
      <x:c r="F492" s="11" t="str">
        <x:v>MAT</x:v>
      </x:c>
      <x:c r="G492" s="11" t="str">
        <x:v>Falta de material</x:v>
      </x:c>
      <x:c r="H492" s="11" t="str">
        <x:v>Logística</x:v>
      </x:c>
      <x:c r="I492" s="11" t="n">
        <x:v>25</x:v>
      </x:c>
      <x:c r="J492" s="11" t="str">
        <x:v>Cerrada</x:v>
      </x:c>
      <x:c r="K492" s="11" t="str">
        <x:v>Cambio de componente</x:v>
      </x:c>
    </x:row>
    <x:row r="493">
      <x:c r="A493" s="11" t="n">
        <x:v>492</x:v>
      </x:c>
      <x:c r="B493" s="11" t="str">
        <x:v>2026-08-29</x:v>
      </x:c>
      <x:c r="C493" s="11" t="str">
        <x:v>L2</x:v>
      </x:c>
      <x:c r="D493" s="11" t="str">
        <x:v>Envasado B</x:v>
      </x:c>
      <x:c r="E493" s="11" t="str">
        <x:v>Matutino</x:v>
      </x:c>
      <x:c r="F493" s="11" t="str">
        <x:v>MEC</x:v>
      </x:c>
      <x:c r="G493" s="11" t="str">
        <x:v>Falla mecánica</x:v>
      </x:c>
      <x:c r="H493" s="11" t="str">
        <x:v>Mantenimiento</x:v>
      </x:c>
      <x:c r="I493" s="11" t="n">
        <x:v>27</x:v>
      </x:c>
      <x:c r="J493" s="11" t="str">
        <x:v>Cerrada</x:v>
      </x:c>
      <x:c r="K493" s="11" t="str">
        <x:v>Reinicio controlado</x:v>
      </x:c>
    </x:row>
    <x:row r="494">
      <x:c r="A494" s="11" t="n">
        <x:v>493</x:v>
      </x:c>
      <x:c r="B494" s="11" t="str">
        <x:v>2026-08-29</x:v>
      </x:c>
      <x:c r="C494" s="11" t="str">
        <x:v>L2</x:v>
      </x:c>
      <x:c r="D494" s="11" t="str">
        <x:v>Envasado B</x:v>
      </x:c>
      <x:c r="E494" s="11" t="str">
        <x:v>Vespertino</x:v>
      </x:c>
      <x:c r="F494" s="11" t="str">
        <x:v>ELE</x:v>
      </x:c>
      <x:c r="G494" s="11" t="str">
        <x:v>Falla eléctrica</x:v>
      </x:c>
      <x:c r="H494" s="11" t="str">
        <x:v>Mantenimiento</x:v>
      </x:c>
      <x:c r="I494" s="11" t="n">
        <x:v>5</x:v>
      </x:c>
      <x:c r="J494" s="11" t="str">
        <x:v>Cerrada</x:v>
      </x:c>
      <x:c r="K494" s="11" t="str">
        <x:v>Ajuste y prueba</x:v>
      </x:c>
    </x:row>
    <x:row r="495">
      <x:c r="A495" s="11" t="n">
        <x:v>494</x:v>
      </x:c>
      <x:c r="B495" s="11" t="str">
        <x:v>2026-08-29</x:v>
      </x:c>
      <x:c r="C495" s="11" t="str">
        <x:v>L3</x:v>
      </x:c>
      <x:c r="D495" s="11" t="str">
        <x:v>Empaque</x:v>
      </x:c>
      <x:c r="E495" s="11" t="str">
        <x:v>Matutino</x:v>
      </x:c>
      <x:c r="F495" s="11" t="str">
        <x:v>CAM</x:v>
      </x:c>
      <x:c r="G495" s="11" t="str">
        <x:v>Cambio de formato</x:v>
      </x:c>
      <x:c r="H495" s="11" t="str">
        <x:v>Producción</x:v>
      </x:c>
      <x:c r="I495" s="11" t="n">
        <x:v>30</x:v>
      </x:c>
      <x:c r="J495" s="11" t="str">
        <x:v>Cerrada</x:v>
      </x:c>
      <x:c r="K495" s="11" t="str">
        <x:v>Inspección y liberación</x:v>
      </x:c>
    </x:row>
    <x:row r="496">
      <x:c r="A496" s="11" t="n">
        <x:v>495</x:v>
      </x:c>
      <x:c r="B496" s="11" t="str">
        <x:v>2026-08-29</x:v>
      </x:c>
      <x:c r="C496" s="11" t="str">
        <x:v>L3</x:v>
      </x:c>
      <x:c r="D496" s="11" t="str">
        <x:v>Empaque</x:v>
      </x:c>
      <x:c r="E496" s="11" t="str">
        <x:v>Matutino</x:v>
      </x:c>
      <x:c r="F496" s="11" t="str">
        <x:v>CAM</x:v>
      </x:c>
      <x:c r="G496" s="11" t="str">
        <x:v>Cambio de formato</x:v>
      </x:c>
      <x:c r="H496" s="11" t="str">
        <x:v>Producción</x:v>
      </x:c>
      <x:c r="I496" s="11" t="n">
        <x:v>25</x:v>
      </x:c>
      <x:c r="J496" s="11" t="str">
        <x:v>Cerrada</x:v>
      </x:c>
      <x:c r="K496" s="11" t="str">
        <x:v>Inspección y liberación</x:v>
      </x:c>
    </x:row>
    <x:row r="497">
      <x:c r="A497" s="11" t="n">
        <x:v>496</x:v>
      </x:c>
      <x:c r="B497" s="11" t="str">
        <x:v>2026-08-29</x:v>
      </x:c>
      <x:c r="C497" s="11" t="str">
        <x:v>L3</x:v>
      </x:c>
      <x:c r="D497" s="11" t="str">
        <x:v>Empaque</x:v>
      </x:c>
      <x:c r="E497" s="11" t="str">
        <x:v>Matutino</x:v>
      </x:c>
      <x:c r="F497" s="11" t="str">
        <x:v>ELE</x:v>
      </x:c>
      <x:c r="G497" s="11" t="str">
        <x:v>Falla eléctrica</x:v>
      </x:c>
      <x:c r="H497" s="11" t="str">
        <x:v>Mantenimiento</x:v>
      </x:c>
      <x:c r="I497" s="11" t="n">
        <x:v>5</x:v>
      </x:c>
      <x:c r="J497" s="11" t="str">
        <x:v>Cerrada</x:v>
      </x:c>
      <x:c r="K497" s="11" t="str">
        <x:v>Reinicio controlado</x:v>
      </x:c>
    </x:row>
    <x:row r="498">
      <x:c r="A498" s="11" t="n">
        <x:v>497</x:v>
      </x:c>
      <x:c r="B498" s="11" t="str">
        <x:v>2026-08-29</x:v>
      </x:c>
      <x:c r="C498" s="11" t="str">
        <x:v>L3</x:v>
      </x:c>
      <x:c r="D498" s="11" t="str">
        <x:v>Empaque</x:v>
      </x:c>
      <x:c r="E498" s="11" t="str">
        <x:v>Vespertino</x:v>
      </x:c>
      <x:c r="F498" s="11" t="str">
        <x:v>CAL</x:v>
      </x:c>
      <x:c r="G498" s="11" t="str">
        <x:v>Ajuste de calidad</x:v>
      </x:c>
      <x:c r="H498" s="11" t="str">
        <x:v>Calidad</x:v>
      </x:c>
      <x:c r="I498" s="11" t="n">
        <x:v>16</x:v>
      </x:c>
      <x:c r="J498" s="11" t="str">
        <x:v>Cerrada</x:v>
      </x:c>
      <x:c r="K498" s="11" t="str">
        <x:v>Ajuste y prueba</x:v>
      </x:c>
    </x:row>
    <x:row r="499">
      <x:c r="A499" s="11" t="n">
        <x:v>498</x:v>
      </x:c>
      <x:c r="B499" s="11" t="str">
        <x:v>2026-08-29</x:v>
      </x:c>
      <x:c r="C499" s="11" t="str">
        <x:v>L3</x:v>
      </x:c>
      <x:c r="D499" s="11" t="str">
        <x:v>Empaque</x:v>
      </x:c>
      <x:c r="E499" s="11" t="str">
        <x:v>Vespertino</x:v>
      </x:c>
      <x:c r="F499" s="11" t="str">
        <x:v>ELE</x:v>
      </x:c>
      <x:c r="G499" s="11" t="str">
        <x:v>Falla eléctrica</x:v>
      </x:c>
      <x:c r="H499" s="11" t="str">
        <x:v>Mantenimiento</x:v>
      </x:c>
      <x:c r="I499" s="11" t="n">
        <x:v>24</x:v>
      </x:c>
      <x:c r="J499" s="11" t="str">
        <x:v>Cerrada</x:v>
      </x:c>
      <x:c r="K499" s="11" t="str">
        <x:v>Reinicio controlado</x:v>
      </x:c>
    </x:row>
    <x:row r="500">
      <x:c r="A500" s="11" t="n">
        <x:v>499</x:v>
      </x:c>
      <x:c r="B500" s="11" t="str">
        <x:v>2026-08-29</x:v>
      </x:c>
      <x:c r="C500" s="11" t="str">
        <x:v>L3</x:v>
      </x:c>
      <x:c r="D500" s="11" t="str">
        <x:v>Empaque</x:v>
      </x:c>
      <x:c r="E500" s="11" t="str">
        <x:v>Vespertino</x:v>
      </x:c>
      <x:c r="F500" s="11" t="str">
        <x:v>MAT</x:v>
      </x:c>
      <x:c r="G500" s="11" t="str">
        <x:v>Falta de material</x:v>
      </x:c>
      <x:c r="H500" s="11" t="str">
        <x:v>Logística</x:v>
      </x:c>
      <x:c r="I500" s="11" t="n">
        <x:v>14</x:v>
      </x:c>
      <x:c r="J500" s="11" t="str">
        <x:v>Cerrada</x:v>
      </x:c>
      <x:c r="K500" s="11" t="str">
        <x:v>Abastecimiento</x:v>
      </x:c>
    </x:row>
    <x:row r="501">
      <x:c r="A501" t="n">
        <x:v>500</x:v>
      </x:c>
      <x:c r="B501" t="str">
        <x:v>2026-08-29</x:v>
      </x:c>
      <x:c r="C501" t="str">
        <x:v>L4</x:v>
      </x:c>
      <x:c r="D501" t="str">
        <x:v>Etiquetado</x:v>
      </x:c>
      <x:c r="E501" t="str">
        <x:v>Matutino</x:v>
      </x:c>
      <x:c r="F501" t="str">
        <x:v>MEC</x:v>
      </x:c>
      <x:c r="G501" t="str">
        <x:v>Falla mecánica</x:v>
      </x:c>
      <x:c r="H501" t="str">
        <x:v>Mantenimiento</x:v>
      </x:c>
      <x:c r="I501" t="n">
        <x:v>30</x:v>
      </x:c>
      <x:c r="J501" t="str">
        <x:v>Cerrada</x:v>
      </x:c>
      <x:c r="K501" t="str">
        <x:v>Cambio de componente</x:v>
      </x:c>
    </x:row>
    <x:row r="502">
      <x:c r="A502" t="n">
        <x:v>501</x:v>
      </x:c>
      <x:c r="B502" t="str">
        <x:v>2026-08-29</x:v>
      </x:c>
      <x:c r="C502" t="str">
        <x:v>L4</x:v>
      </x:c>
      <x:c r="D502" t="str">
        <x:v>Etiquetado</x:v>
      </x:c>
      <x:c r="E502" t="str">
        <x:v>Vespertino</x:v>
      </x:c>
      <x:c r="F502" t="str">
        <x:v>MEC</x:v>
      </x:c>
      <x:c r="G502" t="str">
        <x:v>Falla mecánica</x:v>
      </x:c>
      <x:c r="H502" t="str">
        <x:v>Mantenimiento</x:v>
      </x:c>
      <x:c r="I502" t="n">
        <x:v>34</x:v>
      </x:c>
      <x:c r="J502" t="str">
        <x:v>Cerrada</x:v>
      </x:c>
      <x:c r="K502" t="str">
        <x:v>Inspección y liberación</x:v>
      </x:c>
    </x:row>
    <x:row r="503">
      <x:c r="A503" t="n">
        <x:v>502</x:v>
      </x:c>
      <x:c r="B503" t="str">
        <x:v>2026-08-30</x:v>
      </x:c>
      <x:c r="C503" t="str">
        <x:v>L1</x:v>
      </x:c>
      <x:c r="D503" t="str">
        <x:v>Envasado A</x:v>
      </x:c>
      <x:c r="E503" t="str">
        <x:v>Vespertino</x:v>
      </x:c>
      <x:c r="F503" t="str">
        <x:v>ELE</x:v>
      </x:c>
      <x:c r="G503" t="str">
        <x:v>Falla eléctrica</x:v>
      </x:c>
      <x:c r="H503" t="str">
        <x:v>Mantenimiento</x:v>
      </x:c>
      <x:c r="I503" t="n">
        <x:v>16</x:v>
      </x:c>
      <x:c r="J503" t="str">
        <x:v>Cerrada</x:v>
      </x:c>
      <x:c r="K503" t="str">
        <x:v>Ajuste y prueba</x:v>
      </x:c>
    </x:row>
    <x:row r="504">
      <x:c r="A504" t="n">
        <x:v>503</x:v>
      </x:c>
      <x:c r="B504" t="str">
        <x:v>2026-08-30</x:v>
      </x:c>
      <x:c r="C504" t="str">
        <x:v>L2</x:v>
      </x:c>
      <x:c r="D504" t="str">
        <x:v>Envasado B</x:v>
      </x:c>
      <x:c r="E504" t="str">
        <x:v>Matutino</x:v>
      </x:c>
      <x:c r="F504" t="str">
        <x:v>CAL</x:v>
      </x:c>
      <x:c r="G504" t="str">
        <x:v>Ajuste de calidad</x:v>
      </x:c>
      <x:c r="H504" t="str">
        <x:v>Calidad</x:v>
      </x:c>
      <x:c r="I504" t="n">
        <x:v>1</x:v>
      </x:c>
      <x:c r="J504" t="str">
        <x:v>Cerrada</x:v>
      </x:c>
      <x:c r="K504" t="str">
        <x:v>Cambio de componente</x:v>
      </x:c>
    </x:row>
    <x:row r="505">
      <x:c r="A505" t="n">
        <x:v>504</x:v>
      </x:c>
      <x:c r="B505" t="str">
        <x:v>2026-08-30</x:v>
      </x:c>
      <x:c r="C505" t="str">
        <x:v>L2</x:v>
      </x:c>
      <x:c r="D505" t="str">
        <x:v>Envasado B</x:v>
      </x:c>
      <x:c r="E505" t="str">
        <x:v>Vespertino</x:v>
      </x:c>
      <x:c r="F505" t="str">
        <x:v>CAL</x:v>
      </x:c>
      <x:c r="G505" t="str">
        <x:v>Ajuste de calidad</x:v>
      </x:c>
      <x:c r="H505" t="str">
        <x:v>Calidad</x:v>
      </x:c>
      <x:c r="I505" t="n">
        <x:v>44</x:v>
      </x:c>
      <x:c r="J505" t="str">
        <x:v>Cerrada</x:v>
      </x:c>
      <x:c r="K505" t="str">
        <x:v>Inspección y liberación</x:v>
      </x:c>
    </x:row>
    <x:row r="506">
      <x:c r="A506" t="n">
        <x:v>505</x:v>
      </x:c>
      <x:c r="B506" t="str">
        <x:v>2026-08-31</x:v>
      </x:c>
      <x:c r="C506" t="str">
        <x:v>L1</x:v>
      </x:c>
      <x:c r="D506" t="str">
        <x:v>Envasado A</x:v>
      </x:c>
      <x:c r="E506" t="str">
        <x:v>Matutino</x:v>
      </x:c>
      <x:c r="F506" t="str">
        <x:v>MAT</x:v>
      </x:c>
      <x:c r="G506" t="str">
        <x:v>Falta de material</x:v>
      </x:c>
      <x:c r="H506" t="str">
        <x:v>Logística</x:v>
      </x:c>
      <x:c r="I506" t="n">
        <x:v>27</x:v>
      </x:c>
      <x:c r="J506" t="str">
        <x:v>Cerrada</x:v>
      </x:c>
      <x:c r="K506" t="str">
        <x:v>Abastecimiento</x:v>
      </x:c>
    </x:row>
    <x:row r="507">
      <x:c r="A507" t="n">
        <x:v>506</x:v>
      </x:c>
      <x:c r="B507" t="str">
        <x:v>2026-08-31</x:v>
      </x:c>
      <x:c r="C507" t="str">
        <x:v>L1</x:v>
      </x:c>
      <x:c r="D507" t="str">
        <x:v>Envasado A</x:v>
      </x:c>
      <x:c r="E507" t="str">
        <x:v>Matutino</x:v>
      </x:c>
      <x:c r="F507" t="str">
        <x:v>MAT</x:v>
      </x:c>
      <x:c r="G507" t="str">
        <x:v>Falta de material</x:v>
      </x:c>
      <x:c r="H507" t="str">
        <x:v>Logística</x:v>
      </x:c>
      <x:c r="I507" t="n">
        <x:v>43</x:v>
      </x:c>
      <x:c r="J507" t="str">
        <x:v>Abierta</x:v>
      </x:c>
      <x:c r="K507" t="str">
        <x:v>Ajuste y prueba</x:v>
      </x:c>
    </x:row>
    <x:row r="508">
      <x:c r="A508" t="n">
        <x:v>507</x:v>
      </x:c>
      <x:c r="B508" t="str">
        <x:v>2026-08-31</x:v>
      </x:c>
      <x:c r="C508" t="str">
        <x:v>L1</x:v>
      </x:c>
      <x:c r="D508" t="str">
        <x:v>Envasado A</x:v>
      </x:c>
      <x:c r="E508" t="str">
        <x:v>Vespertino</x:v>
      </x:c>
      <x:c r="F508" t="str">
        <x:v>CAL</x:v>
      </x:c>
      <x:c r="G508" t="str">
        <x:v>Ajuste de calidad</x:v>
      </x:c>
      <x:c r="H508" t="str">
        <x:v>Calidad</x:v>
      </x:c>
      <x:c r="I508" t="n">
        <x:v>11</x:v>
      </x:c>
      <x:c r="J508" t="str">
        <x:v>Abierta</x:v>
      </x:c>
      <x:c r="K508" t="str">
        <x:v>Ajuste y prueba</x:v>
      </x:c>
    </x:row>
    <x:row r="509">
      <x:c r="A509" t="n">
        <x:v>508</x:v>
      </x:c>
      <x:c r="B509" t="str">
        <x:v>2026-08-31</x:v>
      </x:c>
      <x:c r="C509" t="str">
        <x:v>L2</x:v>
      </x:c>
      <x:c r="D509" t="str">
        <x:v>Envasado B</x:v>
      </x:c>
      <x:c r="E509" t="str">
        <x:v>Matutino</x:v>
      </x:c>
      <x:c r="F509" t="str">
        <x:v>ELE</x:v>
      </x:c>
      <x:c r="G509" t="str">
        <x:v>Falla eléctrica</x:v>
      </x:c>
      <x:c r="H509" t="str">
        <x:v>Mantenimiento</x:v>
      </x:c>
      <x:c r="I509" t="n">
        <x:v>32</x:v>
      </x:c>
      <x:c r="J509" t="str">
        <x:v>Cerrada</x:v>
      </x:c>
      <x:c r="K509" t="str">
        <x:v>Ajuste y prueba</x:v>
      </x:c>
    </x:row>
    <x:row r="510">
      <x:c r="A510" t="n">
        <x:v>509</x:v>
      </x:c>
      <x:c r="B510" t="str">
        <x:v>2026-08-31</x:v>
      </x:c>
      <x:c r="C510" t="str">
        <x:v>L2</x:v>
      </x:c>
      <x:c r="D510" t="str">
        <x:v>Envasado B</x:v>
      </x:c>
      <x:c r="E510" t="str">
        <x:v>Vespertino</x:v>
      </x:c>
      <x:c r="F510" t="str">
        <x:v>ELE</x:v>
      </x:c>
      <x:c r="G510" t="str">
        <x:v>Falla eléctrica</x:v>
      </x:c>
      <x:c r="H510" t="str">
        <x:v>Mantenimiento</x:v>
      </x:c>
      <x:c r="I510" t="n">
        <x:v>34</x:v>
      </x:c>
      <x:c r="J510" t="str">
        <x:v>Abierta</x:v>
      </x:c>
      <x:c r="K510" t="str">
        <x:v>Abastecimiento</x:v>
      </x:c>
    </x:row>
    <x:row r="511">
      <x:c r="A511" t="n">
        <x:v>510</x:v>
      </x:c>
      <x:c r="B511" t="str">
        <x:v>2026-08-31</x:v>
      </x:c>
      <x:c r="C511" t="str">
        <x:v>L3</x:v>
      </x:c>
      <x:c r="D511" t="str">
        <x:v>Empaque</x:v>
      </x:c>
      <x:c r="E511" t="str">
        <x:v>Matutino</x:v>
      </x:c>
      <x:c r="F511" t="str">
        <x:v>ELE</x:v>
      </x:c>
      <x:c r="G511" t="str">
        <x:v>Falla eléctrica</x:v>
      </x:c>
      <x:c r="H511" t="str">
        <x:v>Mantenimiento</x:v>
      </x:c>
      <x:c r="I511" t="n">
        <x:v>35</x:v>
      </x:c>
      <x:c r="J511" t="str">
        <x:v>Abierta</x:v>
      </x:c>
      <x:c r="K511" t="str">
        <x:v>Ajuste y prueba</x:v>
      </x:c>
    </x:row>
    <x:row r="512">
      <x:c r="A512" t="n">
        <x:v>511</x:v>
      </x:c>
      <x:c r="B512" t="str">
        <x:v>2026-08-31</x:v>
      </x:c>
      <x:c r="C512" t="str">
        <x:v>L3</x:v>
      </x:c>
      <x:c r="D512" t="str">
        <x:v>Empaque</x:v>
      </x:c>
      <x:c r="E512" t="str">
        <x:v>Vespertino</x:v>
      </x:c>
      <x:c r="F512" t="str">
        <x:v>CAL</x:v>
      </x:c>
      <x:c r="G512" t="str">
        <x:v>Ajuste de calidad</x:v>
      </x:c>
      <x:c r="H512" t="str">
        <x:v>Calidad</x:v>
      </x:c>
      <x:c r="I512" t="n">
        <x:v>29</x:v>
      </x:c>
      <x:c r="J512" t="str">
        <x:v>Cerrada</x:v>
      </x:c>
      <x:c r="K512" t="str">
        <x:v>Abastecimiento</x:v>
      </x:c>
    </x:row>
    <x:row r="513">
      <x:c r="A513" t="n">
        <x:v>512</x:v>
      </x:c>
      <x:c r="B513" t="str">
        <x:v>2026-08-31</x:v>
      </x:c>
      <x:c r="C513" t="str">
        <x:v>L4</x:v>
      </x:c>
      <x:c r="D513" t="str">
        <x:v>Etiquetado</x:v>
      </x:c>
      <x:c r="E513" t="str">
        <x:v>Matutino</x:v>
      </x:c>
      <x:c r="F513" t="str">
        <x:v>CAL</x:v>
      </x:c>
      <x:c r="G513" t="str">
        <x:v>Ajuste de calidad</x:v>
      </x:c>
      <x:c r="H513" t="str">
        <x:v>Calidad</x:v>
      </x:c>
      <x:c r="I513" t="n">
        <x:v>37</x:v>
      </x:c>
      <x:c r="J513" t="str">
        <x:v>Cerrada</x:v>
      </x:c>
      <x:c r="K513" t="str">
        <x:v>Ajuste y prueba</x:v>
      </x:c>
    </x:row>
    <x:row r="514">
      <x:c r="A514" t="n">
        <x:v>513</x:v>
      </x:c>
      <x:c r="B514" t="str">
        <x:v>2026-08-31</x:v>
      </x:c>
      <x:c r="C514" t="str">
        <x:v>L4</x:v>
      </x:c>
      <x:c r="D514" t="str">
        <x:v>Etiquetado</x:v>
      </x:c>
      <x:c r="E514" t="str">
        <x:v>Vespertino</x:v>
      </x:c>
      <x:c r="F514" t="str">
        <x:v>MAT</x:v>
      </x:c>
      <x:c r="G514" t="str">
        <x:v>Falta de material</x:v>
      </x:c>
      <x:c r="H514" t="str">
        <x:v>Logística</x:v>
      </x:c>
      <x:c r="I514" t="n">
        <x:v>7</x:v>
      </x:c>
      <x:c r="J514" t="str">
        <x:v>Cerrada</x:v>
      </x:c>
      <x:c r="K514" t="str">
        <x:v>Inspección y liberación</x:v>
      </x:c>
    </x:row>
    <x:row r="515">
      <x:c r="A515" t="n">
        <x:v>514</x:v>
      </x:c>
      <x:c r="B515" t="str">
        <x:v>2026-09-01</x:v>
      </x:c>
      <x:c r="C515" t="str">
        <x:v>L1</x:v>
      </x:c>
      <x:c r="D515" t="str">
        <x:v>Envasado A</x:v>
      </x:c>
      <x:c r="E515" t="str">
        <x:v>Matutino</x:v>
      </x:c>
      <x:c r="F515" t="str">
        <x:v>MEC</x:v>
      </x:c>
      <x:c r="G515" t="str">
        <x:v>Falla mecánica</x:v>
      </x:c>
      <x:c r="H515" t="str">
        <x:v>Mantenimiento</x:v>
      </x:c>
      <x:c r="I515" t="n">
        <x:v>14</x:v>
      </x:c>
      <x:c r="J515" t="str">
        <x:v>Abierta</x:v>
      </x:c>
      <x:c r="K515" t="str">
        <x:v>Cambio de componente</x:v>
      </x:c>
    </x:row>
    <x:row r="516">
      <x:c r="A516" t="n">
        <x:v>515</x:v>
      </x:c>
      <x:c r="B516" t="str">
        <x:v>2026-09-01</x:v>
      </x:c>
      <x:c r="C516" t="str">
        <x:v>L1</x:v>
      </x:c>
      <x:c r="D516" t="str">
        <x:v>Envasado A</x:v>
      </x:c>
      <x:c r="E516" t="str">
        <x:v>Vespertino</x:v>
      </x:c>
      <x:c r="F516" t="str">
        <x:v>CAM</x:v>
      </x:c>
      <x:c r="G516" t="str">
        <x:v>Cambio de formato</x:v>
      </x:c>
      <x:c r="H516" t="str">
        <x:v>Producción</x:v>
      </x:c>
      <x:c r="I516" t="n">
        <x:v>17</x:v>
      </x:c>
      <x:c r="J516" t="str">
        <x:v>Abierta</x:v>
      </x:c>
      <x:c r="K516" t="str">
        <x:v>Abastecimiento</x:v>
      </x:c>
    </x:row>
    <x:row r="517">
      <x:c r="A517" t="n">
        <x:v>516</x:v>
      </x:c>
      <x:c r="B517" t="str">
        <x:v>2026-09-01</x:v>
      </x:c>
      <x:c r="C517" t="str">
        <x:v>L2</x:v>
      </x:c>
      <x:c r="D517" t="str">
        <x:v>Envasado B</x:v>
      </x:c>
      <x:c r="E517" t="str">
        <x:v>Matutino</x:v>
      </x:c>
      <x:c r="F517" t="str">
        <x:v>MEC</x:v>
      </x:c>
      <x:c r="G517" t="str">
        <x:v>Falla mecánica</x:v>
      </x:c>
      <x:c r="H517" t="str">
        <x:v>Mantenimiento</x:v>
      </x:c>
      <x:c r="I517" t="n">
        <x:v>31</x:v>
      </x:c>
      <x:c r="J517" t="str">
        <x:v>Cerrada</x:v>
      </x:c>
      <x:c r="K517" t="str">
        <x:v>Inspección y liberación</x:v>
      </x:c>
    </x:row>
    <x:row r="518">
      <x:c r="A518" t="n">
        <x:v>517</x:v>
      </x:c>
      <x:c r="B518" t="str">
        <x:v>2026-09-01</x:v>
      </x:c>
      <x:c r="C518" t="str">
        <x:v>L2</x:v>
      </x:c>
      <x:c r="D518" t="str">
        <x:v>Envasado B</x:v>
      </x:c>
      <x:c r="E518" t="str">
        <x:v>Vespertino</x:v>
      </x:c>
      <x:c r="F518" t="str">
        <x:v>CAM</x:v>
      </x:c>
      <x:c r="G518" t="str">
        <x:v>Cambio de formato</x:v>
      </x:c>
      <x:c r="H518" t="str">
        <x:v>Producción</x:v>
      </x:c>
      <x:c r="I518" t="n">
        <x:v>6</x:v>
      </x:c>
      <x:c r="J518" t="str">
        <x:v>Cerrada</x:v>
      </x:c>
      <x:c r="K518" t="str">
        <x:v>Ajuste y prueba</x:v>
      </x:c>
    </x:row>
    <x:row r="519">
      <x:c r="A519" t="n">
        <x:v>518</x:v>
      </x:c>
      <x:c r="B519" t="str">
        <x:v>2026-09-01</x:v>
      </x:c>
      <x:c r="C519" t="str">
        <x:v>L3</x:v>
      </x:c>
      <x:c r="D519" t="str">
        <x:v>Empaque</x:v>
      </x:c>
      <x:c r="E519" t="str">
        <x:v>Matutino</x:v>
      </x:c>
      <x:c r="F519" t="str">
        <x:v>CAL</x:v>
      </x:c>
      <x:c r="G519" t="str">
        <x:v>Ajuste de calidad</x:v>
      </x:c>
      <x:c r="H519" t="str">
        <x:v>Calidad</x:v>
      </x:c>
      <x:c r="I519" t="n">
        <x:v>15</x:v>
      </x:c>
      <x:c r="J519" t="str">
        <x:v>Cerrada</x:v>
      </x:c>
      <x:c r="K519" t="str">
        <x:v>Inspección y liberación</x:v>
      </x:c>
    </x:row>
    <x:row r="520">
      <x:c r="A520" t="n">
        <x:v>519</x:v>
      </x:c>
      <x:c r="B520" t="str">
        <x:v>2026-09-01</x:v>
      </x:c>
      <x:c r="C520" t="str">
        <x:v>L3</x:v>
      </x:c>
      <x:c r="D520" t="str">
        <x:v>Empaque</x:v>
      </x:c>
      <x:c r="E520" t="str">
        <x:v>Vespertino</x:v>
      </x:c>
      <x:c r="F520" t="str">
        <x:v>MEC</x:v>
      </x:c>
      <x:c r="G520" t="str">
        <x:v>Falla mecánica</x:v>
      </x:c>
      <x:c r="H520" t="str">
        <x:v>Mantenimiento</x:v>
      </x:c>
      <x:c r="I520" t="n">
        <x:v>44</x:v>
      </x:c>
      <x:c r="J520" t="str">
        <x:v>Abierta</x:v>
      </x:c>
      <x:c r="K520" t="str">
        <x:v>Reinicio controlado</x:v>
      </x:c>
    </x:row>
    <x:row r="521">
      <x:c r="A521" t="n">
        <x:v>520</x:v>
      </x:c>
      <x:c r="B521" t="str">
        <x:v>2026-09-01</x:v>
      </x:c>
      <x:c r="C521" t="str">
        <x:v>L4</x:v>
      </x:c>
      <x:c r="D521" t="str">
        <x:v>Etiquetado</x:v>
      </x:c>
      <x:c r="E521" t="str">
        <x:v>Matutino</x:v>
      </x:c>
      <x:c r="F521" t="str">
        <x:v>ELE</x:v>
      </x:c>
      <x:c r="G521" t="str">
        <x:v>Falla eléctrica</x:v>
      </x:c>
      <x:c r="H521" t="str">
        <x:v>Mantenimiento</x:v>
      </x:c>
      <x:c r="I521" t="n">
        <x:v>46</x:v>
      </x:c>
      <x:c r="J521" t="str">
        <x:v>Abierta</x:v>
      </x:c>
      <x:c r="K521" t="str">
        <x:v>Ajuste y prueba</x:v>
      </x:c>
    </x:row>
    <x:row r="522">
      <x:c r="A522" t="n">
        <x:v>521</x:v>
      </x:c>
      <x:c r="B522" t="str">
        <x:v>2026-09-02</x:v>
      </x:c>
      <x:c r="C522" t="str">
        <x:v>L1</x:v>
      </x:c>
      <x:c r="D522" t="str">
        <x:v>Envasado A</x:v>
      </x:c>
      <x:c r="E522" t="str">
        <x:v>Matutino</x:v>
      </x:c>
      <x:c r="F522" t="str">
        <x:v>ELE</x:v>
      </x:c>
      <x:c r="G522" t="str">
        <x:v>Falla eléctrica</x:v>
      </x:c>
      <x:c r="H522" t="str">
        <x:v>Mantenimiento</x:v>
      </x:c>
      <x:c r="I522" t="n">
        <x:v>27</x:v>
      </x:c>
      <x:c r="J522" t="str">
        <x:v>Cerrada</x:v>
      </x:c>
      <x:c r="K522" t="str">
        <x:v>Cambio de componente</x:v>
      </x:c>
    </x:row>
    <x:row r="523">
      <x:c r="A523" t="n">
        <x:v>522</x:v>
      </x:c>
      <x:c r="B523" t="str">
        <x:v>2026-09-02</x:v>
      </x:c>
      <x:c r="C523" t="str">
        <x:v>L1</x:v>
      </x:c>
      <x:c r="D523" t="str">
        <x:v>Envasado A</x:v>
      </x:c>
      <x:c r="E523" t="str">
        <x:v>Vespertino</x:v>
      </x:c>
      <x:c r="F523" t="str">
        <x:v>ELE</x:v>
      </x:c>
      <x:c r="G523" t="str">
        <x:v>Falla eléctrica</x:v>
      </x:c>
      <x:c r="H523" t="str">
        <x:v>Mantenimiento</x:v>
      </x:c>
      <x:c r="I523" t="n">
        <x:v>18</x:v>
      </x:c>
      <x:c r="J523" t="str">
        <x:v>Cerrada</x:v>
      </x:c>
      <x:c r="K523" t="str">
        <x:v>Inspección y liberación</x:v>
      </x:c>
    </x:row>
    <x:row r="524">
      <x:c r="A524" t="n">
        <x:v>523</x:v>
      </x:c>
      <x:c r="B524" t="str">
        <x:v>2026-09-02</x:v>
      </x:c>
      <x:c r="C524" t="str">
        <x:v>L2</x:v>
      </x:c>
      <x:c r="D524" t="str">
        <x:v>Envasado B</x:v>
      </x:c>
      <x:c r="E524" t="str">
        <x:v>Matutino</x:v>
      </x:c>
      <x:c r="F524" t="str">
        <x:v>ELE</x:v>
      </x:c>
      <x:c r="G524" t="str">
        <x:v>Falla eléctrica</x:v>
      </x:c>
      <x:c r="H524" t="str">
        <x:v>Mantenimiento</x:v>
      </x:c>
      <x:c r="I524" t="n">
        <x:v>13</x:v>
      </x:c>
      <x:c r="J524" t="str">
        <x:v>Cerrada</x:v>
      </x:c>
      <x:c r="K524" t="str">
        <x:v>Ajuste y prueba</x:v>
      </x:c>
    </x:row>
    <x:row r="525">
      <x:c r="A525" t="n">
        <x:v>524</x:v>
      </x:c>
      <x:c r="B525" t="str">
        <x:v>2026-09-02</x:v>
      </x:c>
      <x:c r="C525" t="str">
        <x:v>L2</x:v>
      </x:c>
      <x:c r="D525" t="str">
        <x:v>Envasado B</x:v>
      </x:c>
      <x:c r="E525" t="str">
        <x:v>Vespertino</x:v>
      </x:c>
      <x:c r="F525" t="str">
        <x:v>CAL</x:v>
      </x:c>
      <x:c r="G525" t="str">
        <x:v>Ajuste de calidad</x:v>
      </x:c>
      <x:c r="H525" t="str">
        <x:v>Calidad</x:v>
      </x:c>
      <x:c r="I525" t="n">
        <x:v>11</x:v>
      </x:c>
      <x:c r="J525" t="str">
        <x:v>Cerrada</x:v>
      </x:c>
      <x:c r="K525" t="str">
        <x:v>Abastecimiento</x:v>
      </x:c>
    </x:row>
    <x:row r="526">
      <x:c r="A526" t="n">
        <x:v>525</x:v>
      </x:c>
      <x:c r="B526" t="str">
        <x:v>2026-09-02</x:v>
      </x:c>
      <x:c r="C526" t="str">
        <x:v>L3</x:v>
      </x:c>
      <x:c r="D526" t="str">
        <x:v>Empaque</x:v>
      </x:c>
      <x:c r="E526" t="str">
        <x:v>Matutino</x:v>
      </x:c>
      <x:c r="F526" t="str">
        <x:v>CAM</x:v>
      </x:c>
      <x:c r="G526" t="str">
        <x:v>Cambio de formato</x:v>
      </x:c>
      <x:c r="H526" t="str">
        <x:v>Producción</x:v>
      </x:c>
      <x:c r="I526" t="n">
        <x:v>26</x:v>
      </x:c>
      <x:c r="J526" t="str">
        <x:v>Abierta</x:v>
      </x:c>
      <x:c r="K526" t="str">
        <x:v>Cambio de componente</x:v>
      </x:c>
    </x:row>
    <x:row r="527">
      <x:c r="A527" t="n">
        <x:v>526</x:v>
      </x:c>
      <x:c r="B527" t="str">
        <x:v>2026-09-02</x:v>
      </x:c>
      <x:c r="C527" t="str">
        <x:v>L3</x:v>
      </x:c>
      <x:c r="D527" t="str">
        <x:v>Empaque</x:v>
      </x:c>
      <x:c r="E527" t="str">
        <x:v>Vespertino</x:v>
      </x:c>
      <x:c r="F527" t="str">
        <x:v>ELE</x:v>
      </x:c>
      <x:c r="G527" t="str">
        <x:v>Falla eléctrica</x:v>
      </x:c>
      <x:c r="H527" t="str">
        <x:v>Mantenimiento</x:v>
      </x:c>
      <x:c r="I527" t="n">
        <x:v>7</x:v>
      </x:c>
      <x:c r="J527" t="str">
        <x:v>Cerrada</x:v>
      </x:c>
      <x:c r="K527" t="str">
        <x:v>Inspección y liberación</x:v>
      </x:c>
    </x:row>
    <x:row r="528">
      <x:c r="A528" t="n">
        <x:v>527</x:v>
      </x:c>
      <x:c r="B528" t="str">
        <x:v>2026-09-02</x:v>
      </x:c>
      <x:c r="C528" t="str">
        <x:v>L4</x:v>
      </x:c>
      <x:c r="D528" t="str">
        <x:v>Etiquetado</x:v>
      </x:c>
      <x:c r="E528" t="str">
        <x:v>Matutino</x:v>
      </x:c>
      <x:c r="F528" t="str">
        <x:v>ELE</x:v>
      </x:c>
      <x:c r="G528" t="str">
        <x:v>Falla eléctrica</x:v>
      </x:c>
      <x:c r="H528" t="str">
        <x:v>Mantenimiento</x:v>
      </x:c>
      <x:c r="I528" t="n">
        <x:v>29</x:v>
      </x:c>
      <x:c r="J528" t="str">
        <x:v>Cerrada</x:v>
      </x:c>
      <x:c r="K528" t="str">
        <x:v>Reinicio controlado</x:v>
      </x:c>
    </x:row>
    <x:row r="529">
      <x:c r="A529" t="n">
        <x:v>528</x:v>
      </x:c>
      <x:c r="B529" t="str">
        <x:v>2026-09-02</x:v>
      </x:c>
      <x:c r="C529" t="str">
        <x:v>L4</x:v>
      </x:c>
      <x:c r="D529" t="str">
        <x:v>Etiquetado</x:v>
      </x:c>
      <x:c r="E529" t="str">
        <x:v>Matutino</x:v>
      </x:c>
      <x:c r="F529" t="str">
        <x:v>MAT</x:v>
      </x:c>
      <x:c r="G529" t="str">
        <x:v>Falta de material</x:v>
      </x:c>
      <x:c r="H529" t="str">
        <x:v>Logística</x:v>
      </x:c>
      <x:c r="I529" t="n">
        <x:v>24</x:v>
      </x:c>
      <x:c r="J529" t="str">
        <x:v>Cerrada</x:v>
      </x:c>
      <x:c r="K529" t="str">
        <x:v>Reinicio controlado</x:v>
      </x:c>
    </x:row>
    <x:row r="530">
      <x:c r="A530" t="n">
        <x:v>529</x:v>
      </x:c>
      <x:c r="B530" t="str">
        <x:v>2026-09-02</x:v>
      </x:c>
      <x:c r="C530" t="str">
        <x:v>L4</x:v>
      </x:c>
      <x:c r="D530" t="str">
        <x:v>Etiquetado</x:v>
      </x:c>
      <x:c r="E530" t="str">
        <x:v>Vespertino</x:v>
      </x:c>
      <x:c r="F530" t="str">
        <x:v>CAM</x:v>
      </x:c>
      <x:c r="G530" t="str">
        <x:v>Cambio de formato</x:v>
      </x:c>
      <x:c r="H530" t="str">
        <x:v>Producción</x:v>
      </x:c>
      <x:c r="I530" t="n">
        <x:v>20</x:v>
      </x:c>
      <x:c r="J530" t="str">
        <x:v>Cerrada</x:v>
      </x:c>
      <x:c r="K530" t="str">
        <x:v>Reinicio controlado</x:v>
      </x:c>
    </x:row>
    <x:row r="531">
      <x:c r="A531" t="n">
        <x:v>530</x:v>
      </x:c>
      <x:c r="B531" t="str">
        <x:v>2026-09-03</x:v>
      </x:c>
      <x:c r="C531" t="str">
        <x:v>L1</x:v>
      </x:c>
      <x:c r="D531" t="str">
        <x:v>Envasado A</x:v>
      </x:c>
      <x:c r="E531" t="str">
        <x:v>Matutino</x:v>
      </x:c>
      <x:c r="F531" t="str">
        <x:v>CAL</x:v>
      </x:c>
      <x:c r="G531" t="str">
        <x:v>Ajuste de calidad</x:v>
      </x:c>
      <x:c r="H531" t="str">
        <x:v>Calidad</x:v>
      </x:c>
      <x:c r="I531" t="n">
        <x:v>39</x:v>
      </x:c>
      <x:c r="J531" t="str">
        <x:v>Cerrada</x:v>
      </x:c>
      <x:c r="K531" t="str">
        <x:v>Inspección y liberación</x:v>
      </x:c>
    </x:row>
    <x:row r="532">
      <x:c r="A532" t="n">
        <x:v>531</x:v>
      </x:c>
      <x:c r="B532" t="str">
        <x:v>2026-09-03</x:v>
      </x:c>
      <x:c r="C532" t="str">
        <x:v>L1</x:v>
      </x:c>
      <x:c r="D532" t="str">
        <x:v>Envasado A</x:v>
      </x:c>
      <x:c r="E532" t="str">
        <x:v>Vespertino</x:v>
      </x:c>
      <x:c r="F532" t="str">
        <x:v>CAL</x:v>
      </x:c>
      <x:c r="G532" t="str">
        <x:v>Ajuste de calidad</x:v>
      </x:c>
      <x:c r="H532" t="str">
        <x:v>Calidad</x:v>
      </x:c>
      <x:c r="I532" t="n">
        <x:v>20</x:v>
      </x:c>
      <x:c r="J532" t="str">
        <x:v>Cerrada</x:v>
      </x:c>
      <x:c r="K532" t="str">
        <x:v>Reinicio controlado</x:v>
      </x:c>
    </x:row>
    <x:row r="533">
      <x:c r="A533" t="n">
        <x:v>532</x:v>
      </x:c>
      <x:c r="B533" t="str">
        <x:v>2026-09-03</x:v>
      </x:c>
      <x:c r="C533" t="str">
        <x:v>L1</x:v>
      </x:c>
      <x:c r="D533" t="str">
        <x:v>Envasado A</x:v>
      </x:c>
      <x:c r="E533" t="str">
        <x:v>Vespertino</x:v>
      </x:c>
      <x:c r="F533" t="str">
        <x:v>CAM</x:v>
      </x:c>
      <x:c r="G533" t="str">
        <x:v>Cambio de formato</x:v>
      </x:c>
      <x:c r="H533" t="str">
        <x:v>Producción</x:v>
      </x:c>
      <x:c r="I533" t="n">
        <x:v>31</x:v>
      </x:c>
      <x:c r="J533" t="str">
        <x:v>Cerrada</x:v>
      </x:c>
      <x:c r="K533" t="str">
        <x:v>Abastecimiento</x:v>
      </x:c>
    </x:row>
    <x:row r="534">
      <x:c r="A534" t="n">
        <x:v>533</x:v>
      </x:c>
      <x:c r="B534" t="str">
        <x:v>2026-09-03</x:v>
      </x:c>
      <x:c r="C534" t="str">
        <x:v>L2</x:v>
      </x:c>
      <x:c r="D534" t="str">
        <x:v>Envasado B</x:v>
      </x:c>
      <x:c r="E534" t="str">
        <x:v>Matutino</x:v>
      </x:c>
      <x:c r="F534" t="str">
        <x:v>MEC</x:v>
      </x:c>
      <x:c r="G534" t="str">
        <x:v>Falla mecánica</x:v>
      </x:c>
      <x:c r="H534" t="str">
        <x:v>Mantenimiento</x:v>
      </x:c>
      <x:c r="I534" t="n">
        <x:v>54</x:v>
      </x:c>
      <x:c r="J534" t="str">
        <x:v>Cerrada</x:v>
      </x:c>
      <x:c r="K534" t="str">
        <x:v>Inspección y liberación</x:v>
      </x:c>
    </x:row>
    <x:row r="535">
      <x:c r="A535" t="n">
        <x:v>534</x:v>
      </x:c>
      <x:c r="B535" t="str">
        <x:v>2026-09-03</x:v>
      </x:c>
      <x:c r="C535" t="str">
        <x:v>L2</x:v>
      </x:c>
      <x:c r="D535" t="str">
        <x:v>Envasado B</x:v>
      </x:c>
      <x:c r="E535" t="str">
        <x:v>Vespertino</x:v>
      </x:c>
      <x:c r="F535" t="str">
        <x:v>MEC</x:v>
      </x:c>
      <x:c r="G535" t="str">
        <x:v>Falla mecánica</x:v>
      </x:c>
      <x:c r="H535" t="str">
        <x:v>Mantenimiento</x:v>
      </x:c>
      <x:c r="I535" t="n">
        <x:v>30</x:v>
      </x:c>
      <x:c r="J535" t="str">
        <x:v>Cerrada</x:v>
      </x:c>
      <x:c r="K535" t="str">
        <x:v>Reinicio controlado</x:v>
      </x:c>
    </x:row>
    <x:row r="536">
      <x:c r="A536" t="n">
        <x:v>535</x:v>
      </x:c>
      <x:c r="B536" t="str">
        <x:v>2026-09-03</x:v>
      </x:c>
      <x:c r="C536" t="str">
        <x:v>L3</x:v>
      </x:c>
      <x:c r="D536" t="str">
        <x:v>Empaque</x:v>
      </x:c>
      <x:c r="E536" t="str">
        <x:v>Matutino</x:v>
      </x:c>
      <x:c r="F536" t="str">
        <x:v>MEC</x:v>
      </x:c>
      <x:c r="G536" t="str">
        <x:v>Falla mecánica</x:v>
      </x:c>
      <x:c r="H536" t="str">
        <x:v>Mantenimiento</x:v>
      </x:c>
      <x:c r="I536" t="n">
        <x:v>44</x:v>
      </x:c>
      <x:c r="J536" t="str">
        <x:v>Cerrada</x:v>
      </x:c>
      <x:c r="K536" t="str">
        <x:v>Cambio de componente</x:v>
      </x:c>
    </x:row>
    <x:row r="537">
      <x:c r="A537" t="n">
        <x:v>536</x:v>
      </x:c>
      <x:c r="B537" t="str">
        <x:v>2026-09-03</x:v>
      </x:c>
      <x:c r="C537" t="str">
        <x:v>L3</x:v>
      </x:c>
      <x:c r="D537" t="str">
        <x:v>Empaque</x:v>
      </x:c>
      <x:c r="E537" t="str">
        <x:v>Vespertino</x:v>
      </x:c>
      <x:c r="F537" t="str">
        <x:v>ELE</x:v>
      </x:c>
      <x:c r="G537" t="str">
        <x:v>Falla eléctrica</x:v>
      </x:c>
      <x:c r="H537" t="str">
        <x:v>Mantenimiento</x:v>
      </x:c>
      <x:c r="I537" t="n">
        <x:v>34</x:v>
      </x:c>
      <x:c r="J537" t="str">
        <x:v>Cerrada</x:v>
      </x:c>
      <x:c r="K537" t="str">
        <x:v>Ajuste y prueba</x:v>
      </x:c>
    </x:row>
    <x:row r="538">
      <x:c r="A538" t="n">
        <x:v>537</x:v>
      </x:c>
      <x:c r="B538" t="str">
        <x:v>2026-09-03</x:v>
      </x:c>
      <x:c r="C538" t="str">
        <x:v>L4</x:v>
      </x:c>
      <x:c r="D538" t="str">
        <x:v>Etiquetado</x:v>
      </x:c>
      <x:c r="E538" t="str">
        <x:v>Matutino</x:v>
      </x:c>
      <x:c r="F538" t="str">
        <x:v>MAT</x:v>
      </x:c>
      <x:c r="G538" t="str">
        <x:v>Falta de material</x:v>
      </x:c>
      <x:c r="H538" t="str">
        <x:v>Logística</x:v>
      </x:c>
      <x:c r="I538" t="n">
        <x:v>30</x:v>
      </x:c>
      <x:c r="J538" t="str">
        <x:v>Cerrada</x:v>
      </x:c>
      <x:c r="K538" t="str">
        <x:v>Ajuste y prueba</x:v>
      </x:c>
    </x:row>
    <x:row r="539">
      <x:c r="A539" t="n">
        <x:v>538</x:v>
      </x:c>
      <x:c r="B539" t="str">
        <x:v>2026-09-03</x:v>
      </x:c>
      <x:c r="C539" t="str">
        <x:v>L4</x:v>
      </x:c>
      <x:c r="D539" t="str">
        <x:v>Etiquetado</x:v>
      </x:c>
      <x:c r="E539" t="str">
        <x:v>Vespertino</x:v>
      </x:c>
      <x:c r="F539" t="str">
        <x:v>MEC</x:v>
      </x:c>
      <x:c r="G539" t="str">
        <x:v>Falla mecánica</x:v>
      </x:c>
      <x:c r="H539" t="str">
        <x:v>Mantenimiento</x:v>
      </x:c>
      <x:c r="I539" t="n">
        <x:v>21</x:v>
      </x:c>
      <x:c r="J539" t="str">
        <x:v>Cerrada</x:v>
      </x:c>
      <x:c r="K539" t="str">
        <x:v>Reinicio controlado</x:v>
      </x:c>
    </x:row>
    <x:row r="540">
      <x:c r="A540" t="n">
        <x:v>539</x:v>
      </x:c>
      <x:c r="B540" t="str">
        <x:v>2026-09-04</x:v>
      </x:c>
      <x:c r="C540" t="str">
        <x:v>L1</x:v>
      </x:c>
      <x:c r="D540" t="str">
        <x:v>Envasado A</x:v>
      </x:c>
      <x:c r="E540" t="str">
        <x:v>Matutino</x:v>
      </x:c>
      <x:c r="F540" t="str">
        <x:v>MAT</x:v>
      </x:c>
      <x:c r="G540" t="str">
        <x:v>Falta de material</x:v>
      </x:c>
      <x:c r="H540" t="str">
        <x:v>Logística</x:v>
      </x:c>
      <x:c r="I540" t="n">
        <x:v>12</x:v>
      </x:c>
      <x:c r="J540" t="str">
        <x:v>Cerrada</x:v>
      </x:c>
      <x:c r="K540" t="str">
        <x:v>Inspección y liberación</x:v>
      </x:c>
    </x:row>
    <x:row r="541">
      <x:c r="A541" t="n">
        <x:v>540</x:v>
      </x:c>
      <x:c r="B541" t="str">
        <x:v>2026-09-04</x:v>
      </x:c>
      <x:c r="C541" t="str">
        <x:v>L1</x:v>
      </x:c>
      <x:c r="D541" t="str">
        <x:v>Envasado A</x:v>
      </x:c>
      <x:c r="E541" t="str">
        <x:v>Matutino</x:v>
      </x:c>
      <x:c r="F541" t="str">
        <x:v>ELE</x:v>
      </x:c>
      <x:c r="G541" t="str">
        <x:v>Falla eléctrica</x:v>
      </x:c>
      <x:c r="H541" t="str">
        <x:v>Mantenimiento</x:v>
      </x:c>
      <x:c r="I541" t="n">
        <x:v>47</x:v>
      </x:c>
      <x:c r="J541" t="str">
        <x:v>Cerrada</x:v>
      </x:c>
      <x:c r="K541" t="str">
        <x:v>Reinicio controlado</x:v>
      </x:c>
    </x:row>
    <x:row r="542">
      <x:c r="A542" t="n">
        <x:v>541</x:v>
      </x:c>
      <x:c r="B542" t="str">
        <x:v>2026-09-04</x:v>
      </x:c>
      <x:c r="C542" t="str">
        <x:v>L1</x:v>
      </x:c>
      <x:c r="D542" t="str">
        <x:v>Envasado A</x:v>
      </x:c>
      <x:c r="E542" t="str">
        <x:v>Vespertino</x:v>
      </x:c>
      <x:c r="F542" t="str">
        <x:v>MAT</x:v>
      </x:c>
      <x:c r="G542" t="str">
        <x:v>Falta de material</x:v>
      </x:c>
      <x:c r="H542" t="str">
        <x:v>Logística</x:v>
      </x:c>
      <x:c r="I542" t="n">
        <x:v>32</x:v>
      </x:c>
      <x:c r="J542" t="str">
        <x:v>Abierta</x:v>
      </x:c>
      <x:c r="K542" t="str">
        <x:v>Inspección y liberación</x:v>
      </x:c>
    </x:row>
    <x:row r="543">
      <x:c r="A543" t="n">
        <x:v>542</x:v>
      </x:c>
      <x:c r="B543" t="str">
        <x:v>2026-09-04</x:v>
      </x:c>
      <x:c r="C543" t="str">
        <x:v>L2</x:v>
      </x:c>
      <x:c r="D543" t="str">
        <x:v>Envasado B</x:v>
      </x:c>
      <x:c r="E543" t="str">
        <x:v>Matutino</x:v>
      </x:c>
      <x:c r="F543" t="str">
        <x:v>ELE</x:v>
      </x:c>
      <x:c r="G543" t="str">
        <x:v>Falla eléctrica</x:v>
      </x:c>
      <x:c r="H543" t="str">
        <x:v>Mantenimiento</x:v>
      </x:c>
      <x:c r="I543" t="n">
        <x:v>26</x:v>
      </x:c>
      <x:c r="J543" t="str">
        <x:v>Abierta</x:v>
      </x:c>
      <x:c r="K543" t="str">
        <x:v>Reinicio controlado</x:v>
      </x:c>
    </x:row>
    <x:row r="544">
      <x:c r="A544" t="n">
        <x:v>543</x:v>
      </x:c>
      <x:c r="B544" t="str">
        <x:v>2026-09-04</x:v>
      </x:c>
      <x:c r="C544" t="str">
        <x:v>L2</x:v>
      </x:c>
      <x:c r="D544" t="str">
        <x:v>Envasado B</x:v>
      </x:c>
      <x:c r="E544" t="str">
        <x:v>Matutino</x:v>
      </x:c>
      <x:c r="F544" t="str">
        <x:v>CAM</x:v>
      </x:c>
      <x:c r="G544" t="str">
        <x:v>Cambio de formato</x:v>
      </x:c>
      <x:c r="H544" t="str">
        <x:v>Producción</x:v>
      </x:c>
      <x:c r="I544" t="n">
        <x:v>33</x:v>
      </x:c>
      <x:c r="J544" t="str">
        <x:v>Cerrada</x:v>
      </x:c>
      <x:c r="K544" t="str">
        <x:v>Abastecimiento</x:v>
      </x:c>
    </x:row>
    <x:row r="545">
      <x:c r="A545" t="n">
        <x:v>544</x:v>
      </x:c>
      <x:c r="B545" t="str">
        <x:v>2026-09-04</x:v>
      </x:c>
      <x:c r="C545" t="str">
        <x:v>L2</x:v>
      </x:c>
      <x:c r="D545" t="str">
        <x:v>Envasado B</x:v>
      </x:c>
      <x:c r="E545" t="str">
        <x:v>Matutino</x:v>
      </x:c>
      <x:c r="F545" t="str">
        <x:v>CAL</x:v>
      </x:c>
      <x:c r="G545" t="str">
        <x:v>Ajuste de calidad</x:v>
      </x:c>
      <x:c r="H545" t="str">
        <x:v>Calidad</x:v>
      </x:c>
      <x:c r="I545" t="n">
        <x:v>5</x:v>
      </x:c>
      <x:c r="J545" t="str">
        <x:v>Abierta</x:v>
      </x:c>
      <x:c r="K545" t="str">
        <x:v>Inspección y liberación</x:v>
      </x:c>
    </x:row>
    <x:row r="546">
      <x:c r="A546" t="n">
        <x:v>545</x:v>
      </x:c>
      <x:c r="B546" t="str">
        <x:v>2026-09-04</x:v>
      </x:c>
      <x:c r="C546" t="str">
        <x:v>L2</x:v>
      </x:c>
      <x:c r="D546" t="str">
        <x:v>Envasado B</x:v>
      </x:c>
      <x:c r="E546" t="str">
        <x:v>Vespertino</x:v>
      </x:c>
      <x:c r="F546" t="str">
        <x:v>MAT</x:v>
      </x:c>
      <x:c r="G546" t="str">
        <x:v>Falta de material</x:v>
      </x:c>
      <x:c r="H546" t="str">
        <x:v>Logística</x:v>
      </x:c>
      <x:c r="I546" t="n">
        <x:v>12</x:v>
      </x:c>
      <x:c r="J546" t="str">
        <x:v>Abierta</x:v>
      </x:c>
      <x:c r="K546" t="str">
        <x:v>Inspección y liberación</x:v>
      </x:c>
    </x:row>
    <x:row r="547">
      <x:c r="A547" t="n">
        <x:v>546</x:v>
      </x:c>
      <x:c r="B547" t="str">
        <x:v>2026-09-04</x:v>
      </x:c>
      <x:c r="C547" t="str">
        <x:v>L3</x:v>
      </x:c>
      <x:c r="D547" t="str">
        <x:v>Empaque</x:v>
      </x:c>
      <x:c r="E547" t="str">
        <x:v>Matutino</x:v>
      </x:c>
      <x:c r="F547" t="str">
        <x:v>CAM</x:v>
      </x:c>
      <x:c r="G547" t="str">
        <x:v>Cambio de formato</x:v>
      </x:c>
      <x:c r="H547" t="str">
        <x:v>Producción</x:v>
      </x:c>
      <x:c r="I547" t="n">
        <x:v>21</x:v>
      </x:c>
      <x:c r="J547" t="str">
        <x:v>Abierta</x:v>
      </x:c>
      <x:c r="K547" t="str">
        <x:v>Ajuste y prueba</x:v>
      </x:c>
    </x:row>
    <x:row r="548">
      <x:c r="A548" t="n">
        <x:v>547</x:v>
      </x:c>
      <x:c r="B548" t="str">
        <x:v>2026-09-04</x:v>
      </x:c>
      <x:c r="C548" t="str">
        <x:v>L3</x:v>
      </x:c>
      <x:c r="D548" t="str">
        <x:v>Empaque</x:v>
      </x:c>
      <x:c r="E548" t="str">
        <x:v>Vespertino</x:v>
      </x:c>
      <x:c r="F548" t="str">
        <x:v>CAM</x:v>
      </x:c>
      <x:c r="G548" t="str">
        <x:v>Cambio de formato</x:v>
      </x:c>
      <x:c r="H548" t="str">
        <x:v>Producción</x:v>
      </x:c>
      <x:c r="I548" t="n">
        <x:v>19</x:v>
      </x:c>
      <x:c r="J548" t="str">
        <x:v>Cerrada</x:v>
      </x:c>
      <x:c r="K548" t="str">
        <x:v>Ajuste y prueba</x:v>
      </x:c>
    </x:row>
    <x:row r="549">
      <x:c r="A549" t="n">
        <x:v>548</x:v>
      </x:c>
      <x:c r="B549" t="str">
        <x:v>2026-09-04</x:v>
      </x:c>
      <x:c r="C549" t="str">
        <x:v>L3</x:v>
      </x:c>
      <x:c r="D549" t="str">
        <x:v>Empaque</x:v>
      </x:c>
      <x:c r="E549" t="str">
        <x:v>Vespertino</x:v>
      </x:c>
      <x:c r="F549" t="str">
        <x:v>ELE</x:v>
      </x:c>
      <x:c r="G549" t="str">
        <x:v>Falla eléctrica</x:v>
      </x:c>
      <x:c r="H549" t="str">
        <x:v>Mantenimiento</x:v>
      </x:c>
      <x:c r="I549" t="n">
        <x:v>31</x:v>
      </x:c>
      <x:c r="J549" t="str">
        <x:v>Abierta</x:v>
      </x:c>
      <x:c r="K549" t="str">
        <x:v>Abastecimiento</x:v>
      </x:c>
    </x:row>
    <x:row r="550">
      <x:c r="A550" t="n">
        <x:v>549</x:v>
      </x:c>
      <x:c r="B550" t="str">
        <x:v>2026-09-04</x:v>
      </x:c>
      <x:c r="C550" t="str">
        <x:v>L4</x:v>
      </x:c>
      <x:c r="D550" t="str">
        <x:v>Etiquetado</x:v>
      </x:c>
      <x:c r="E550" t="str">
        <x:v>Matutino</x:v>
      </x:c>
      <x:c r="F550" t="str">
        <x:v>MAT</x:v>
      </x:c>
      <x:c r="G550" t="str">
        <x:v>Falta de material</x:v>
      </x:c>
      <x:c r="H550" t="str">
        <x:v>Logística</x:v>
      </x:c>
      <x:c r="I550" t="n">
        <x:v>56</x:v>
      </x:c>
      <x:c r="J550" t="str">
        <x:v>Abierta</x:v>
      </x:c>
      <x:c r="K550" t="str">
        <x:v>Reinicio controlado</x:v>
      </x:c>
    </x:row>
    <x:row r="551">
      <x:c r="A551" t="n">
        <x:v>550</x:v>
      </x:c>
      <x:c r="B551" t="str">
        <x:v>2026-09-05</x:v>
      </x:c>
      <x:c r="C551" t="str">
        <x:v>L1</x:v>
      </x:c>
      <x:c r="D551" t="str">
        <x:v>Envasado A</x:v>
      </x:c>
      <x:c r="E551" t="str">
        <x:v>Matutino</x:v>
      </x:c>
      <x:c r="F551" t="str">
        <x:v>CAL</x:v>
      </x:c>
      <x:c r="G551" t="str">
        <x:v>Ajuste de calidad</x:v>
      </x:c>
      <x:c r="H551" t="str">
        <x:v>Calidad</x:v>
      </x:c>
      <x:c r="I551" t="n">
        <x:v>15</x:v>
      </x:c>
      <x:c r="J551" t="str">
        <x:v>Cerrada</x:v>
      </x:c>
      <x:c r="K551" t="str">
        <x:v>Reinicio controlado</x:v>
      </x:c>
    </x:row>
    <x:row r="552">
      <x:c r="A552" t="n">
        <x:v>551</x:v>
      </x:c>
      <x:c r="B552" t="str">
        <x:v>2026-09-05</x:v>
      </x:c>
      <x:c r="C552" t="str">
        <x:v>L1</x:v>
      </x:c>
      <x:c r="D552" t="str">
        <x:v>Envasado A</x:v>
      </x:c>
      <x:c r="E552" t="str">
        <x:v>Vespertino</x:v>
      </x:c>
      <x:c r="F552" t="str">
        <x:v>MEC</x:v>
      </x:c>
      <x:c r="G552" t="str">
        <x:v>Falla mecánica</x:v>
      </x:c>
      <x:c r="H552" t="str">
        <x:v>Mantenimiento</x:v>
      </x:c>
      <x:c r="I552" t="n">
        <x:v>12</x:v>
      </x:c>
      <x:c r="J552" t="str">
        <x:v>Cerrada</x:v>
      </x:c>
      <x:c r="K552" t="str">
        <x:v>Abastecimiento</x:v>
      </x:c>
    </x:row>
    <x:row r="553">
      <x:c r="A553" t="n">
        <x:v>552</x:v>
      </x:c>
      <x:c r="B553" t="str">
        <x:v>2026-09-05</x:v>
      </x:c>
      <x:c r="C553" t="str">
        <x:v>L1</x:v>
      </x:c>
      <x:c r="D553" t="str">
        <x:v>Envasado A</x:v>
      </x:c>
      <x:c r="E553" t="str">
        <x:v>Vespertino</x:v>
      </x:c>
      <x:c r="F553" t="str">
        <x:v>CAL</x:v>
      </x:c>
      <x:c r="G553" t="str">
        <x:v>Ajuste de calidad</x:v>
      </x:c>
      <x:c r="H553" t="str">
        <x:v>Calidad</x:v>
      </x:c>
      <x:c r="I553" t="n">
        <x:v>40</x:v>
      </x:c>
      <x:c r="J553" t="str">
        <x:v>Abierta</x:v>
      </x:c>
      <x:c r="K553" t="str">
        <x:v>Cambio de componente</x:v>
      </x:c>
    </x:row>
    <x:row r="554">
      <x:c r="A554" t="n">
        <x:v>553</x:v>
      </x:c>
      <x:c r="B554" t="str">
        <x:v>2026-09-05</x:v>
      </x:c>
      <x:c r="C554" t="str">
        <x:v>L2</x:v>
      </x:c>
      <x:c r="D554" t="str">
        <x:v>Envasado B</x:v>
      </x:c>
      <x:c r="E554" t="str">
        <x:v>Vespertino</x:v>
      </x:c>
      <x:c r="F554" t="str">
        <x:v>CAM</x:v>
      </x:c>
      <x:c r="G554" t="str">
        <x:v>Cambio de formato</x:v>
      </x:c>
      <x:c r="H554" t="str">
        <x:v>Producción</x:v>
      </x:c>
      <x:c r="I554" t="n">
        <x:v>17</x:v>
      </x:c>
      <x:c r="J554" t="str">
        <x:v>Cerrada</x:v>
      </x:c>
      <x:c r="K554" t="str">
        <x:v>Cambio de componente</x:v>
      </x:c>
    </x:row>
    <x:row r="555">
      <x:c r="A555" t="n">
        <x:v>554</x:v>
      </x:c>
      <x:c r="B555" t="str">
        <x:v>2026-09-05</x:v>
      </x:c>
      <x:c r="C555" t="str">
        <x:v>L2</x:v>
      </x:c>
      <x:c r="D555" t="str">
        <x:v>Envasado B</x:v>
      </x:c>
      <x:c r="E555" t="str">
        <x:v>Vespertino</x:v>
      </x:c>
      <x:c r="F555" t="str">
        <x:v>MEC</x:v>
      </x:c>
      <x:c r="G555" t="str">
        <x:v>Falla mecánica</x:v>
      </x:c>
      <x:c r="H555" t="str">
        <x:v>Mantenimiento</x:v>
      </x:c>
      <x:c r="I555" t="n">
        <x:v>18</x:v>
      </x:c>
      <x:c r="J555" t="str">
        <x:v>Cerrada</x:v>
      </x:c>
      <x:c r="K555" t="str">
        <x:v>Inspección y liberación</x:v>
      </x:c>
    </x:row>
    <x:row r="556">
      <x:c r="A556" t="n">
        <x:v>555</x:v>
      </x:c>
      <x:c r="B556" t="str">
        <x:v>2026-09-05</x:v>
      </x:c>
      <x:c r="C556" t="str">
        <x:v>L2</x:v>
      </x:c>
      <x:c r="D556" t="str">
        <x:v>Envasado B</x:v>
      </x:c>
      <x:c r="E556" t="str">
        <x:v>Vespertino</x:v>
      </x:c>
      <x:c r="F556" t="str">
        <x:v>MEC</x:v>
      </x:c>
      <x:c r="G556" t="str">
        <x:v>Falla mecánica</x:v>
      </x:c>
      <x:c r="H556" t="str">
        <x:v>Mantenimiento</x:v>
      </x:c>
      <x:c r="I556" t="n">
        <x:v>24</x:v>
      </x:c>
      <x:c r="J556" t="str">
        <x:v>Cerrada</x:v>
      </x:c>
      <x:c r="K556" t="str">
        <x:v>Reinicio controlado</x:v>
      </x:c>
    </x:row>
    <x:row r="557">
      <x:c r="A557" t="n">
        <x:v>556</x:v>
      </x:c>
      <x:c r="B557" t="str">
        <x:v>2026-09-05</x:v>
      </x:c>
      <x:c r="C557" t="str">
        <x:v>L3</x:v>
      </x:c>
      <x:c r="D557" t="str">
        <x:v>Empaque</x:v>
      </x:c>
      <x:c r="E557" t="str">
        <x:v>Matutino</x:v>
      </x:c>
      <x:c r="F557" t="str">
        <x:v>MEC</x:v>
      </x:c>
      <x:c r="G557" t="str">
        <x:v>Falla mecánica</x:v>
      </x:c>
      <x:c r="H557" t="str">
        <x:v>Mantenimiento</x:v>
      </x:c>
      <x:c r="I557" t="n">
        <x:v>33</x:v>
      </x:c>
      <x:c r="J557" t="str">
        <x:v>Cerrada</x:v>
      </x:c>
      <x:c r="K557" t="str">
        <x:v>Inspección y liberación</x:v>
      </x:c>
    </x:row>
    <x:row r="558">
      <x:c r="A558" t="n">
        <x:v>557</x:v>
      </x:c>
      <x:c r="B558" t="str">
        <x:v>2026-09-05</x:v>
      </x:c>
      <x:c r="C558" t="str">
        <x:v>L3</x:v>
      </x:c>
      <x:c r="D558" t="str">
        <x:v>Empaque</x:v>
      </x:c>
      <x:c r="E558" t="str">
        <x:v>Vespertino</x:v>
      </x:c>
      <x:c r="F558" t="str">
        <x:v>ELE</x:v>
      </x:c>
      <x:c r="G558" t="str">
        <x:v>Falla eléctrica</x:v>
      </x:c>
      <x:c r="H558" t="str">
        <x:v>Mantenimiento</x:v>
      </x:c>
      <x:c r="I558" t="n">
        <x:v>32</x:v>
      </x:c>
      <x:c r="J558" t="str">
        <x:v>Cerrada</x:v>
      </x:c>
      <x:c r="K558" t="str">
        <x:v>Abastecimiento</x:v>
      </x:c>
    </x:row>
    <x:row r="559">
      <x:c r="A559" t="n">
        <x:v>558</x:v>
      </x:c>
      <x:c r="B559" t="str">
        <x:v>2026-09-05</x:v>
      </x:c>
      <x:c r="C559" t="str">
        <x:v>L3</x:v>
      </x:c>
      <x:c r="D559" t="str">
        <x:v>Empaque</x:v>
      </x:c>
      <x:c r="E559" t="str">
        <x:v>Vespertino</x:v>
      </x:c>
      <x:c r="F559" t="str">
        <x:v>ELE</x:v>
      </x:c>
      <x:c r="G559" t="str">
        <x:v>Falla eléctrica</x:v>
      </x:c>
      <x:c r="H559" t="str">
        <x:v>Mantenimiento</x:v>
      </x:c>
      <x:c r="I559" t="n">
        <x:v>18</x:v>
      </x:c>
      <x:c r="J559" t="str">
        <x:v>Cerrada</x:v>
      </x:c>
      <x:c r="K559" t="str">
        <x:v>Abastecimiento</x:v>
      </x:c>
    </x:row>
    <x:row r="560">
      <x:c r="A560" t="n">
        <x:v>559</x:v>
      </x:c>
      <x:c r="B560" t="str">
        <x:v>2026-09-05</x:v>
      </x:c>
      <x:c r="C560" t="str">
        <x:v>L3</x:v>
      </x:c>
      <x:c r="D560" t="str">
        <x:v>Empaque</x:v>
      </x:c>
      <x:c r="E560" t="str">
        <x:v>Vespertino</x:v>
      </x:c>
      <x:c r="F560" t="str">
        <x:v>CAL</x:v>
      </x:c>
      <x:c r="G560" t="str">
        <x:v>Ajuste de calidad</x:v>
      </x:c>
      <x:c r="H560" t="str">
        <x:v>Calidad</x:v>
      </x:c>
      <x:c r="I560" t="n">
        <x:v>5</x:v>
      </x:c>
      <x:c r="J560" t="str">
        <x:v>Cerrada</x:v>
      </x:c>
      <x:c r="K560" t="str">
        <x:v>Inspección y liberación</x:v>
      </x:c>
    </x:row>
    <x:row r="561">
      <x:c r="A561" t="n">
        <x:v>560</x:v>
      </x:c>
      <x:c r="B561" t="str">
        <x:v>2026-09-05</x:v>
      </x:c>
      <x:c r="C561" t="str">
        <x:v>L4</x:v>
      </x:c>
      <x:c r="D561" t="str">
        <x:v>Etiquetado</x:v>
      </x:c>
      <x:c r="E561" t="str">
        <x:v>Matutino</x:v>
      </x:c>
      <x:c r="F561" t="str">
        <x:v>CAL</x:v>
      </x:c>
      <x:c r="G561" t="str">
        <x:v>Ajuste de calidad</x:v>
      </x:c>
      <x:c r="H561" t="str">
        <x:v>Calidad</x:v>
      </x:c>
      <x:c r="I561" t="n">
        <x:v>30</x:v>
      </x:c>
      <x:c r="J561" t="str">
        <x:v>Cerrada</x:v>
      </x:c>
      <x:c r="K561" t="str">
        <x:v>Cambio de componente</x:v>
      </x:c>
    </x:row>
    <x:row r="562">
      <x:c r="A562" t="n">
        <x:v>561</x:v>
      </x:c>
      <x:c r="B562" t="str">
        <x:v>2026-09-05</x:v>
      </x:c>
      <x:c r="C562" t="str">
        <x:v>L4</x:v>
      </x:c>
      <x:c r="D562" t="str">
        <x:v>Etiquetado</x:v>
      </x:c>
      <x:c r="E562" t="str">
        <x:v>Vespertino</x:v>
      </x:c>
      <x:c r="F562" t="str">
        <x:v>MEC</x:v>
      </x:c>
      <x:c r="G562" t="str">
        <x:v>Falla mecánica</x:v>
      </x:c>
      <x:c r="H562" t="str">
        <x:v>Mantenimiento</x:v>
      </x:c>
      <x:c r="I562" t="n">
        <x:v>36</x:v>
      </x:c>
      <x:c r="J562" t="str">
        <x:v>Cerrada</x:v>
      </x:c>
      <x:c r="K562" t="str">
        <x:v>Abastecimiento</x:v>
      </x:c>
    </x:row>
    <x:row r="563">
      <x:c r="A563" t="n">
        <x:v>562</x:v>
      </x:c>
      <x:c r="B563" t="str">
        <x:v>2026-09-06</x:v>
      </x:c>
      <x:c r="C563" t="str">
        <x:v>L1</x:v>
      </x:c>
      <x:c r="D563" t="str">
        <x:v>Envasado A</x:v>
      </x:c>
      <x:c r="E563" t="str">
        <x:v>Matutino</x:v>
      </x:c>
      <x:c r="F563" t="str">
        <x:v>MAT</x:v>
      </x:c>
      <x:c r="G563" t="str">
        <x:v>Falta de material</x:v>
      </x:c>
      <x:c r="H563" t="str">
        <x:v>Logística</x:v>
      </x:c>
      <x:c r="I563" t="n">
        <x:v>23</x:v>
      </x:c>
      <x:c r="J563" t="str">
        <x:v>Abierta</x:v>
      </x:c>
      <x:c r="K563" t="str">
        <x:v>Ajuste y prueba</x:v>
      </x:c>
    </x:row>
    <x:row r="564">
      <x:c r="A564" t="n">
        <x:v>563</x:v>
      </x:c>
      <x:c r="B564" t="str">
        <x:v>2026-09-06</x:v>
      </x:c>
      <x:c r="C564" t="str">
        <x:v>L1</x:v>
      </x:c>
      <x:c r="D564" t="str">
        <x:v>Envasado A</x:v>
      </x:c>
      <x:c r="E564" t="str">
        <x:v>Vespertino</x:v>
      </x:c>
      <x:c r="F564" t="str">
        <x:v>CAM</x:v>
      </x:c>
      <x:c r="G564" t="str">
        <x:v>Cambio de formato</x:v>
      </x:c>
      <x:c r="H564" t="str">
        <x:v>Producción</x:v>
      </x:c>
      <x:c r="I564" t="n">
        <x:v>28</x:v>
      </x:c>
      <x:c r="J564" t="str">
        <x:v>Cerrada</x:v>
      </x:c>
      <x:c r="K564" t="str">
        <x:v>Reinicio controlado</x:v>
      </x:c>
    </x:row>
    <x:row r="565">
      <x:c r="A565" t="n">
        <x:v>564</x:v>
      </x:c>
      <x:c r="B565" t="str">
        <x:v>2026-09-06</x:v>
      </x:c>
      <x:c r="C565" t="str">
        <x:v>L2</x:v>
      </x:c>
      <x:c r="D565" t="str">
        <x:v>Envasado B</x:v>
      </x:c>
      <x:c r="E565" t="str">
        <x:v>Matutino</x:v>
      </x:c>
      <x:c r="F565" t="str">
        <x:v>MAT</x:v>
      </x:c>
      <x:c r="G565" t="str">
        <x:v>Falta de material</x:v>
      </x:c>
      <x:c r="H565" t="str">
        <x:v>Logística</x:v>
      </x:c>
      <x:c r="I565" t="n">
        <x:v>3</x:v>
      </x:c>
      <x:c r="J565" t="str">
        <x:v>Cerrada</x:v>
      </x:c>
      <x:c r="K565" t="str">
        <x:v>Reinicio controlado</x:v>
      </x:c>
    </x:row>
    <x:row r="566">
      <x:c r="A566" t="n">
        <x:v>565</x:v>
      </x:c>
      <x:c r="B566" t="str">
        <x:v>2026-09-06</x:v>
      </x:c>
      <x:c r="C566" t="str">
        <x:v>L2</x:v>
      </x:c>
      <x:c r="D566" t="str">
        <x:v>Envasado B</x:v>
      </x:c>
      <x:c r="E566" t="str">
        <x:v>Vespertino</x:v>
      </x:c>
      <x:c r="F566" t="str">
        <x:v>MAT</x:v>
      </x:c>
      <x:c r="G566" t="str">
        <x:v>Falta de material</x:v>
      </x:c>
      <x:c r="H566" t="str">
        <x:v>Logística</x:v>
      </x:c>
      <x:c r="I566" t="n">
        <x:v>33</x:v>
      </x:c>
      <x:c r="J566" t="str">
        <x:v>Abierta</x:v>
      </x:c>
      <x:c r="K566" t="str">
        <x:v>Reinicio controlado</x:v>
      </x:c>
    </x:row>
    <x:row r="567">
      <x:c r="A567" t="n">
        <x:v>566</x:v>
      </x:c>
      <x:c r="B567" t="str">
        <x:v>2026-09-07</x:v>
      </x:c>
      <x:c r="C567" t="str">
        <x:v>L1</x:v>
      </x:c>
      <x:c r="D567" t="str">
        <x:v>Envasado A</x:v>
      </x:c>
      <x:c r="E567" t="str">
        <x:v>Matutino</x:v>
      </x:c>
      <x:c r="F567" t="str">
        <x:v>ELE</x:v>
      </x:c>
      <x:c r="G567" t="str">
        <x:v>Falla eléctrica</x:v>
      </x:c>
      <x:c r="H567" t="str">
        <x:v>Mantenimiento</x:v>
      </x:c>
      <x:c r="I567" t="n">
        <x:v>22</x:v>
      </x:c>
      <x:c r="J567" t="str">
        <x:v>Cerrada</x:v>
      </x:c>
      <x:c r="K567" t="str">
        <x:v>Inspección y liberación</x:v>
      </x:c>
    </x:row>
    <x:row r="568">
      <x:c r="A568" t="n">
        <x:v>567</x:v>
      </x:c>
      <x:c r="B568" t="str">
        <x:v>2026-09-07</x:v>
      </x:c>
      <x:c r="C568" t="str">
        <x:v>L1</x:v>
      </x:c>
      <x:c r="D568" t="str">
        <x:v>Envasado A</x:v>
      </x:c>
      <x:c r="E568" t="str">
        <x:v>Vespertino</x:v>
      </x:c>
      <x:c r="F568" t="str">
        <x:v>ELE</x:v>
      </x:c>
      <x:c r="G568" t="str">
        <x:v>Falla eléctrica</x:v>
      </x:c>
      <x:c r="H568" t="str">
        <x:v>Mantenimiento</x:v>
      </x:c>
      <x:c r="I568" t="n">
        <x:v>27</x:v>
      </x:c>
      <x:c r="J568" t="str">
        <x:v>Cerrada</x:v>
      </x:c>
      <x:c r="K568" t="str">
        <x:v>Ajuste y prueba</x:v>
      </x:c>
    </x:row>
    <x:row r="569">
      <x:c r="A569" t="n">
        <x:v>568</x:v>
      </x:c>
      <x:c r="B569" t="str">
        <x:v>2026-09-07</x:v>
      </x:c>
      <x:c r="C569" t="str">
        <x:v>L1</x:v>
      </x:c>
      <x:c r="D569" t="str">
        <x:v>Envasado A</x:v>
      </x:c>
      <x:c r="E569" t="str">
        <x:v>Vespertino</x:v>
      </x:c>
      <x:c r="F569" t="str">
        <x:v>ELE</x:v>
      </x:c>
      <x:c r="G569" t="str">
        <x:v>Falla eléctrica</x:v>
      </x:c>
      <x:c r="H569" t="str">
        <x:v>Mantenimiento</x:v>
      </x:c>
      <x:c r="I569" t="n">
        <x:v>20</x:v>
      </x:c>
      <x:c r="J569" t="str">
        <x:v>Cerrada</x:v>
      </x:c>
      <x:c r="K569" t="str">
        <x:v>Reinicio controlado</x:v>
      </x:c>
    </x:row>
    <x:row r="570">
      <x:c r="A570" t="n">
        <x:v>569</x:v>
      </x:c>
      <x:c r="B570" t="str">
        <x:v>2026-09-07</x:v>
      </x:c>
      <x:c r="C570" t="str">
        <x:v>L1</x:v>
      </x:c>
      <x:c r="D570" t="str">
        <x:v>Envasado A</x:v>
      </x:c>
      <x:c r="E570" t="str">
        <x:v>Vespertino</x:v>
      </x:c>
      <x:c r="F570" t="str">
        <x:v>ELE</x:v>
      </x:c>
      <x:c r="G570" t="str">
        <x:v>Falla eléctrica</x:v>
      </x:c>
      <x:c r="H570" t="str">
        <x:v>Mantenimiento</x:v>
      </x:c>
      <x:c r="I570" t="n">
        <x:v>5</x:v>
      </x:c>
      <x:c r="J570" t="str">
        <x:v>Abierta</x:v>
      </x:c>
      <x:c r="K570" t="str">
        <x:v>Ajuste y prueba</x:v>
      </x:c>
    </x:row>
    <x:row r="571">
      <x:c r="A571" t="n">
        <x:v>570</x:v>
      </x:c>
      <x:c r="B571" t="str">
        <x:v>2026-09-07</x:v>
      </x:c>
      <x:c r="C571" t="str">
        <x:v>L2</x:v>
      </x:c>
      <x:c r="D571" t="str">
        <x:v>Envasado B</x:v>
      </x:c>
      <x:c r="E571" t="str">
        <x:v>Matutino</x:v>
      </x:c>
      <x:c r="F571" t="str">
        <x:v>MEC</x:v>
      </x:c>
      <x:c r="G571" t="str">
        <x:v>Falla mecánica</x:v>
      </x:c>
      <x:c r="H571" t="str">
        <x:v>Mantenimiento</x:v>
      </x:c>
      <x:c r="I571" t="n">
        <x:v>25</x:v>
      </x:c>
      <x:c r="J571" t="str">
        <x:v>Cerrada</x:v>
      </x:c>
      <x:c r="K571" t="str">
        <x:v>Inspección y liberación</x:v>
      </x:c>
    </x:row>
    <x:row r="572">
      <x:c r="A572" t="n">
        <x:v>571</x:v>
      </x:c>
      <x:c r="B572" t="str">
        <x:v>2026-09-07</x:v>
      </x:c>
      <x:c r="C572" t="str">
        <x:v>L2</x:v>
      </x:c>
      <x:c r="D572" t="str">
        <x:v>Envasado B</x:v>
      </x:c>
      <x:c r="E572" t="str">
        <x:v>Vespertino</x:v>
      </x:c>
      <x:c r="F572" t="str">
        <x:v>ELE</x:v>
      </x:c>
      <x:c r="G572" t="str">
        <x:v>Falla eléctrica</x:v>
      </x:c>
      <x:c r="H572" t="str">
        <x:v>Mantenimiento</x:v>
      </x:c>
      <x:c r="I572" t="n">
        <x:v>38</x:v>
      </x:c>
      <x:c r="J572" t="str">
        <x:v>Cerrada</x:v>
      </x:c>
      <x:c r="K572" t="str">
        <x:v>Ajuste y prueba</x:v>
      </x:c>
    </x:row>
    <x:row r="573">
      <x:c r="A573" t="n">
        <x:v>572</x:v>
      </x:c>
      <x:c r="B573" t="str">
        <x:v>2026-09-07</x:v>
      </x:c>
      <x:c r="C573" t="str">
        <x:v>L3</x:v>
      </x:c>
      <x:c r="D573" t="str">
        <x:v>Empaque</x:v>
      </x:c>
      <x:c r="E573" t="str">
        <x:v>Matutino</x:v>
      </x:c>
      <x:c r="F573" t="str">
        <x:v>MEC</x:v>
      </x:c>
      <x:c r="G573" t="str">
        <x:v>Falla mecánica</x:v>
      </x:c>
      <x:c r="H573" t="str">
        <x:v>Mantenimiento</x:v>
      </x:c>
      <x:c r="I573" t="n">
        <x:v>30</x:v>
      </x:c>
      <x:c r="J573" t="str">
        <x:v>Cerrada</x:v>
      </x:c>
      <x:c r="K573" t="str">
        <x:v>Abastecimiento</x:v>
      </x:c>
    </x:row>
    <x:row r="574">
      <x:c r="A574" t="n">
        <x:v>573</x:v>
      </x:c>
      <x:c r="B574" t="str">
        <x:v>2026-09-07</x:v>
      </x:c>
      <x:c r="C574" t="str">
        <x:v>L3</x:v>
      </x:c>
      <x:c r="D574" t="str">
        <x:v>Empaque</x:v>
      </x:c>
      <x:c r="E574" t="str">
        <x:v>Matutino</x:v>
      </x:c>
      <x:c r="F574" t="str">
        <x:v>CAM</x:v>
      </x:c>
      <x:c r="G574" t="str">
        <x:v>Cambio de formato</x:v>
      </x:c>
      <x:c r="H574" t="str">
        <x:v>Producción</x:v>
      </x:c>
      <x:c r="I574" t="n">
        <x:v>31</x:v>
      </x:c>
      <x:c r="J574" t="str">
        <x:v>Abierta</x:v>
      </x:c>
      <x:c r="K574" t="str">
        <x:v>Reinicio controlado</x:v>
      </x:c>
    </x:row>
    <x:row r="575">
      <x:c r="A575" t="n">
        <x:v>574</x:v>
      </x:c>
      <x:c r="B575" t="str">
        <x:v>2026-09-07</x:v>
      </x:c>
      <x:c r="C575" t="str">
        <x:v>L3</x:v>
      </x:c>
      <x:c r="D575" t="str">
        <x:v>Empaque</x:v>
      </x:c>
      <x:c r="E575" t="str">
        <x:v>Vespertino</x:v>
      </x:c>
      <x:c r="F575" t="str">
        <x:v>ELE</x:v>
      </x:c>
      <x:c r="G575" t="str">
        <x:v>Falla eléctrica</x:v>
      </x:c>
      <x:c r="H575" t="str">
        <x:v>Mantenimiento</x:v>
      </x:c>
      <x:c r="I575" t="n">
        <x:v>28</x:v>
      </x:c>
      <x:c r="J575" t="str">
        <x:v>Cerrada</x:v>
      </x:c>
      <x:c r="K575" t="str">
        <x:v>Cambio de componente</x:v>
      </x:c>
    </x:row>
    <x:row r="576">
      <x:c r="A576" t="n">
        <x:v>575</x:v>
      </x:c>
      <x:c r="B576" t="str">
        <x:v>2026-09-07</x:v>
      </x:c>
      <x:c r="C576" t="str">
        <x:v>L4</x:v>
      </x:c>
      <x:c r="D576" t="str">
        <x:v>Etiquetado</x:v>
      </x:c>
      <x:c r="E576" t="str">
        <x:v>Matutino</x:v>
      </x:c>
      <x:c r="F576" t="str">
        <x:v>CAL</x:v>
      </x:c>
      <x:c r="G576" t="str">
        <x:v>Ajuste de calidad</x:v>
      </x:c>
      <x:c r="H576" t="str">
        <x:v>Calidad</x:v>
      </x:c>
      <x:c r="I576" t="n">
        <x:v>39</x:v>
      </x:c>
      <x:c r="J576" t="str">
        <x:v>Cerrada</x:v>
      </x:c>
      <x:c r="K576" t="str">
        <x:v>Inspección y liberación</x:v>
      </x:c>
    </x:row>
    <x:row r="577">
      <x:c r="A577" t="n">
        <x:v>576</x:v>
      </x:c>
      <x:c r="B577" t="str">
        <x:v>2026-09-07</x:v>
      </x:c>
      <x:c r="C577" t="str">
        <x:v>L4</x:v>
      </x:c>
      <x:c r="D577" t="str">
        <x:v>Etiquetado</x:v>
      </x:c>
      <x:c r="E577" t="str">
        <x:v>Vespertino</x:v>
      </x:c>
      <x:c r="F577" t="str">
        <x:v>CAM</x:v>
      </x:c>
      <x:c r="G577" t="str">
        <x:v>Cambio de formato</x:v>
      </x:c>
      <x:c r="H577" t="str">
        <x:v>Producción</x:v>
      </x:c>
      <x:c r="I577" t="n">
        <x:v>9</x:v>
      </x:c>
      <x:c r="J577" t="str">
        <x:v>Cerrada</x:v>
      </x:c>
      <x:c r="K577" t="str">
        <x:v>Ajuste y prueba</x:v>
      </x:c>
    </x:row>
    <x:row r="578">
      <x:c r="A578" t="n">
        <x:v>577</x:v>
      </x:c>
      <x:c r="B578" t="str">
        <x:v>2026-09-08</x:v>
      </x:c>
      <x:c r="C578" t="str">
        <x:v>L1</x:v>
      </x:c>
      <x:c r="D578" t="str">
        <x:v>Envasado A</x:v>
      </x:c>
      <x:c r="E578" t="str">
        <x:v>Matutino</x:v>
      </x:c>
      <x:c r="F578" t="str">
        <x:v>CAM</x:v>
      </x:c>
      <x:c r="G578" t="str">
        <x:v>Cambio de formato</x:v>
      </x:c>
      <x:c r="H578" t="str">
        <x:v>Producción</x:v>
      </x:c>
      <x:c r="I578" t="n">
        <x:v>41</x:v>
      </x:c>
      <x:c r="J578" t="str">
        <x:v>Abierta</x:v>
      </x:c>
      <x:c r="K578" t="str">
        <x:v>Reinicio controlado</x:v>
      </x:c>
    </x:row>
    <x:row r="579">
      <x:c r="A579" t="n">
        <x:v>578</x:v>
      </x:c>
      <x:c r="B579" t="str">
        <x:v>2026-09-08</x:v>
      </x:c>
      <x:c r="C579" t="str">
        <x:v>L1</x:v>
      </x:c>
      <x:c r="D579" t="str">
        <x:v>Envasado A</x:v>
      </x:c>
      <x:c r="E579" t="str">
        <x:v>Vespertino</x:v>
      </x:c>
      <x:c r="F579" t="str">
        <x:v>MAT</x:v>
      </x:c>
      <x:c r="G579" t="str">
        <x:v>Falta de material</x:v>
      </x:c>
      <x:c r="H579" t="str">
        <x:v>Logística</x:v>
      </x:c>
      <x:c r="I579" t="n">
        <x:v>9</x:v>
      </x:c>
      <x:c r="J579" t="str">
        <x:v>Cerrada</x:v>
      </x:c>
      <x:c r="K579" t="str">
        <x:v>Inspección y liberación</x:v>
      </x:c>
    </x:row>
    <x:row r="580">
      <x:c r="A580" t="n">
        <x:v>579</x:v>
      </x:c>
      <x:c r="B580" t="str">
        <x:v>2026-09-08</x:v>
      </x:c>
      <x:c r="C580" t="str">
        <x:v>L1</x:v>
      </x:c>
      <x:c r="D580" t="str">
        <x:v>Envasado A</x:v>
      </x:c>
      <x:c r="E580" t="str">
        <x:v>Vespertino</x:v>
      </x:c>
      <x:c r="F580" t="str">
        <x:v>MAT</x:v>
      </x:c>
      <x:c r="G580" t="str">
        <x:v>Falta de material</x:v>
      </x:c>
      <x:c r="H580" t="str">
        <x:v>Logística</x:v>
      </x:c>
      <x:c r="I580" t="n">
        <x:v>71</x:v>
      </x:c>
      <x:c r="J580" t="str">
        <x:v>Abierta</x:v>
      </x:c>
      <x:c r="K580" t="str">
        <x:v>Abastecimiento</x:v>
      </x:c>
    </x:row>
    <x:row r="581">
      <x:c r="A581" t="n">
        <x:v>580</x:v>
      </x:c>
      <x:c r="B581" t="str">
        <x:v>2026-09-08</x:v>
      </x:c>
      <x:c r="C581" t="str">
        <x:v>L2</x:v>
      </x:c>
      <x:c r="D581" t="str">
        <x:v>Envasado B</x:v>
      </x:c>
      <x:c r="E581" t="str">
        <x:v>Matutino</x:v>
      </x:c>
      <x:c r="F581" t="str">
        <x:v>MEC</x:v>
      </x:c>
      <x:c r="G581" t="str">
        <x:v>Falla mecánica</x:v>
      </x:c>
      <x:c r="H581" t="str">
        <x:v>Mantenimiento</x:v>
      </x:c>
      <x:c r="I581" t="n">
        <x:v>19</x:v>
      </x:c>
      <x:c r="J581" t="str">
        <x:v>Abierta</x:v>
      </x:c>
      <x:c r="K581" t="str">
        <x:v>Abastecimiento</x:v>
      </x:c>
    </x:row>
    <x:row r="582">
      <x:c r="A582" t="n">
        <x:v>581</x:v>
      </x:c>
      <x:c r="B582" t="str">
        <x:v>2026-09-08</x:v>
      </x:c>
      <x:c r="C582" t="str">
        <x:v>L2</x:v>
      </x:c>
      <x:c r="D582" t="str">
        <x:v>Envasado B</x:v>
      </x:c>
      <x:c r="E582" t="str">
        <x:v>Vespertino</x:v>
      </x:c>
      <x:c r="F582" t="str">
        <x:v>MAT</x:v>
      </x:c>
      <x:c r="G582" t="str">
        <x:v>Falta de material</x:v>
      </x:c>
      <x:c r="H582" t="str">
        <x:v>Logística</x:v>
      </x:c>
      <x:c r="I582" t="n">
        <x:v>7</x:v>
      </x:c>
      <x:c r="J582" t="str">
        <x:v>Cerrada</x:v>
      </x:c>
      <x:c r="K582" t="str">
        <x:v>Ajuste y prueba</x:v>
      </x:c>
    </x:row>
    <x:row r="583">
      <x:c r="A583" t="n">
        <x:v>582</x:v>
      </x:c>
      <x:c r="B583" t="str">
        <x:v>2026-09-08</x:v>
      </x:c>
      <x:c r="C583" t="str">
        <x:v>L3</x:v>
      </x:c>
      <x:c r="D583" t="str">
        <x:v>Empaque</x:v>
      </x:c>
      <x:c r="E583" t="str">
        <x:v>Matutino</x:v>
      </x:c>
      <x:c r="F583" t="str">
        <x:v>MAT</x:v>
      </x:c>
      <x:c r="G583" t="str">
        <x:v>Falta de material</x:v>
      </x:c>
      <x:c r="H583" t="str">
        <x:v>Logística</x:v>
      </x:c>
      <x:c r="I583" t="n">
        <x:v>62</x:v>
      </x:c>
      <x:c r="J583" t="str">
        <x:v>Cerrada</x:v>
      </x:c>
      <x:c r="K583" t="str">
        <x:v>Cambio de componente</x:v>
      </x:c>
    </x:row>
    <x:row r="584">
      <x:c r="A584" t="n">
        <x:v>583</x:v>
      </x:c>
      <x:c r="B584" t="str">
        <x:v>2026-09-08</x:v>
      </x:c>
      <x:c r="C584" t="str">
        <x:v>L3</x:v>
      </x:c>
      <x:c r="D584" t="str">
        <x:v>Empaque</x:v>
      </x:c>
      <x:c r="E584" t="str">
        <x:v>Vespertino</x:v>
      </x:c>
      <x:c r="F584" t="str">
        <x:v>CAM</x:v>
      </x:c>
      <x:c r="G584" t="str">
        <x:v>Cambio de formato</x:v>
      </x:c>
      <x:c r="H584" t="str">
        <x:v>Producción</x:v>
      </x:c>
      <x:c r="I584" t="n">
        <x:v>22</x:v>
      </x:c>
      <x:c r="J584" t="str">
        <x:v>Abierta</x:v>
      </x:c>
      <x:c r="K584" t="str">
        <x:v>Reinicio controlado</x:v>
      </x:c>
    </x:row>
    <x:row r="585">
      <x:c r="A585" t="n">
        <x:v>584</x:v>
      </x:c>
      <x:c r="B585" t="str">
        <x:v>2026-09-08</x:v>
      </x:c>
      <x:c r="C585" t="str">
        <x:v>L4</x:v>
      </x:c>
      <x:c r="D585" t="str">
        <x:v>Etiquetado</x:v>
      </x:c>
      <x:c r="E585" t="str">
        <x:v>Matutino</x:v>
      </x:c>
      <x:c r="F585" t="str">
        <x:v>CAM</x:v>
      </x:c>
      <x:c r="G585" t="str">
        <x:v>Cambio de formato</x:v>
      </x:c>
      <x:c r="H585" t="str">
        <x:v>Producción</x:v>
      </x:c>
      <x:c r="I585" t="n">
        <x:v>39</x:v>
      </x:c>
      <x:c r="J585" t="str">
        <x:v>Abierta</x:v>
      </x:c>
      <x:c r="K585" t="str">
        <x:v>Cambio de componente</x:v>
      </x:c>
    </x:row>
    <x:row r="586">
      <x:c r="A586" t="n">
        <x:v>585</x:v>
      </x:c>
      <x:c r="B586" t="str">
        <x:v>2026-09-08</x:v>
      </x:c>
      <x:c r="C586" t="str">
        <x:v>L4</x:v>
      </x:c>
      <x:c r="D586" t="str">
        <x:v>Etiquetado</x:v>
      </x:c>
      <x:c r="E586" t="str">
        <x:v>Vespertino</x:v>
      </x:c>
      <x:c r="F586" t="str">
        <x:v>ELE</x:v>
      </x:c>
      <x:c r="G586" t="str">
        <x:v>Falla eléctrica</x:v>
      </x:c>
      <x:c r="H586" t="str">
        <x:v>Mantenimiento</x:v>
      </x:c>
      <x:c r="I586" t="n">
        <x:v>40</x:v>
      </x:c>
      <x:c r="J586" t="str">
        <x:v>Cerrada</x:v>
      </x:c>
      <x:c r="K586" t="str">
        <x:v>Inspección y liberación</x:v>
      </x:c>
    </x:row>
    <x:row r="587">
      <x:c r="A587" t="n">
        <x:v>586</x:v>
      </x:c>
      <x:c r="B587" t="str">
        <x:v>2026-09-09</x:v>
      </x:c>
      <x:c r="C587" t="str">
        <x:v>L1</x:v>
      </x:c>
      <x:c r="D587" t="str">
        <x:v>Envasado A</x:v>
      </x:c>
      <x:c r="E587" t="str">
        <x:v>Matutino</x:v>
      </x:c>
      <x:c r="F587" t="str">
        <x:v>MEC</x:v>
      </x:c>
      <x:c r="G587" t="str">
        <x:v>Falla mecánica</x:v>
      </x:c>
      <x:c r="H587" t="str">
        <x:v>Mantenimiento</x:v>
      </x:c>
      <x:c r="I587" t="n">
        <x:v>6</x:v>
      </x:c>
      <x:c r="J587" t="str">
        <x:v>Abierta</x:v>
      </x:c>
      <x:c r="K587" t="str">
        <x:v>Cambio de componente</x:v>
      </x:c>
    </x:row>
    <x:row r="588">
      <x:c r="A588" t="n">
        <x:v>587</x:v>
      </x:c>
      <x:c r="B588" t="str">
        <x:v>2026-09-09</x:v>
      </x:c>
      <x:c r="C588" t="str">
        <x:v>L1</x:v>
      </x:c>
      <x:c r="D588" t="str">
        <x:v>Envasado A</x:v>
      </x:c>
      <x:c r="E588" t="str">
        <x:v>Vespertino</x:v>
      </x:c>
      <x:c r="F588" t="str">
        <x:v>CAL</x:v>
      </x:c>
      <x:c r="G588" t="str">
        <x:v>Ajuste de calidad</x:v>
      </x:c>
      <x:c r="H588" t="str">
        <x:v>Calidad</x:v>
      </x:c>
      <x:c r="I588" t="n">
        <x:v>11</x:v>
      </x:c>
      <x:c r="J588" t="str">
        <x:v>Cerrada</x:v>
      </x:c>
      <x:c r="K588" t="str">
        <x:v>Reinicio controlado</x:v>
      </x:c>
    </x:row>
    <x:row r="589">
      <x:c r="A589" t="n">
        <x:v>588</x:v>
      </x:c>
      <x:c r="B589" t="str">
        <x:v>2026-09-09</x:v>
      </x:c>
      <x:c r="C589" t="str">
        <x:v>L2</x:v>
      </x:c>
      <x:c r="D589" t="str">
        <x:v>Envasado B</x:v>
      </x:c>
      <x:c r="E589" t="str">
        <x:v>Matutino</x:v>
      </x:c>
      <x:c r="F589" t="str">
        <x:v>CAM</x:v>
      </x:c>
      <x:c r="G589" t="str">
        <x:v>Cambio de formato</x:v>
      </x:c>
      <x:c r="H589" t="str">
        <x:v>Producción</x:v>
      </x:c>
      <x:c r="I589" t="n">
        <x:v>22</x:v>
      </x:c>
      <x:c r="J589" t="str">
        <x:v>Cerrada</x:v>
      </x:c>
      <x:c r="K589" t="str">
        <x:v>Cambio de componente</x:v>
      </x:c>
    </x:row>
    <x:row r="590">
      <x:c r="A590" t="n">
        <x:v>589</x:v>
      </x:c>
      <x:c r="B590" t="str">
        <x:v>2026-09-09</x:v>
      </x:c>
      <x:c r="C590" t="str">
        <x:v>L3</x:v>
      </x:c>
      <x:c r="D590" t="str">
        <x:v>Empaque</x:v>
      </x:c>
      <x:c r="E590" t="str">
        <x:v>Vespertino</x:v>
      </x:c>
      <x:c r="F590" t="str">
        <x:v>MEC</x:v>
      </x:c>
      <x:c r="G590" t="str">
        <x:v>Falla mecánica</x:v>
      </x:c>
      <x:c r="H590" t="str">
        <x:v>Mantenimiento</x:v>
      </x:c>
      <x:c r="I590" t="n">
        <x:v>23</x:v>
      </x:c>
      <x:c r="J590" t="str">
        <x:v>Cerrada</x:v>
      </x:c>
      <x:c r="K590" t="str">
        <x:v>Reinicio controlado</x:v>
      </x:c>
    </x:row>
    <x:row r="591">
      <x:c r="A591" t="n">
        <x:v>590</x:v>
      </x:c>
      <x:c r="B591" t="str">
        <x:v>2026-09-09</x:v>
      </x:c>
      <x:c r="C591" t="str">
        <x:v>L4</x:v>
      </x:c>
      <x:c r="D591" t="str">
        <x:v>Etiquetado</x:v>
      </x:c>
      <x:c r="E591" t="str">
        <x:v>Matutino</x:v>
      </x:c>
      <x:c r="F591" t="str">
        <x:v>MAT</x:v>
      </x:c>
      <x:c r="G591" t="str">
        <x:v>Falta de material</x:v>
      </x:c>
      <x:c r="H591" t="str">
        <x:v>Logística</x:v>
      </x:c>
      <x:c r="I591" t="n">
        <x:v>2</x:v>
      </x:c>
      <x:c r="J591" t="str">
        <x:v>Cerrada</x:v>
      </x:c>
      <x:c r="K591" t="str">
        <x:v>Cambio de componente</x:v>
      </x:c>
    </x:row>
    <x:row r="592">
      <x:c r="A592" t="n">
        <x:v>591</x:v>
      </x:c>
      <x:c r="B592" t="str">
        <x:v>2026-09-09</x:v>
      </x:c>
      <x:c r="C592" t="str">
        <x:v>L4</x:v>
      </x:c>
      <x:c r="D592" t="str">
        <x:v>Etiquetado</x:v>
      </x:c>
      <x:c r="E592" t="str">
        <x:v>Vespertino</x:v>
      </x:c>
      <x:c r="F592" t="str">
        <x:v>CAL</x:v>
      </x:c>
      <x:c r="G592" t="str">
        <x:v>Ajuste de calidad</x:v>
      </x:c>
      <x:c r="H592" t="str">
        <x:v>Calidad</x:v>
      </x:c>
      <x:c r="I592" t="n">
        <x:v>35</x:v>
      </x:c>
      <x:c r="J592" t="str">
        <x:v>Cerrada</x:v>
      </x:c>
      <x:c r="K592" t="str">
        <x:v>Ajuste y prueba</x:v>
      </x:c>
    </x:row>
    <x:row r="593">
      <x:c r="A593" t="n">
        <x:v>592</x:v>
      </x:c>
      <x:c r="B593" t="str">
        <x:v>2026-09-10</x:v>
      </x:c>
      <x:c r="C593" t="str">
        <x:v>L1</x:v>
      </x:c>
      <x:c r="D593" t="str">
        <x:v>Envasado A</x:v>
      </x:c>
      <x:c r="E593" t="str">
        <x:v>Matutino</x:v>
      </x:c>
      <x:c r="F593" t="str">
        <x:v>MEC</x:v>
      </x:c>
      <x:c r="G593" t="str">
        <x:v>Falla mecánica</x:v>
      </x:c>
      <x:c r="H593" t="str">
        <x:v>Mantenimiento</x:v>
      </x:c>
      <x:c r="I593" t="n">
        <x:v>20</x:v>
      </x:c>
      <x:c r="J593" t="str">
        <x:v>Cerrada</x:v>
      </x:c>
      <x:c r="K593" t="str">
        <x:v>Cambio de componente</x:v>
      </x:c>
    </x:row>
    <x:row r="594">
      <x:c r="A594" t="n">
        <x:v>593</x:v>
      </x:c>
      <x:c r="B594" t="str">
        <x:v>2026-09-10</x:v>
      </x:c>
      <x:c r="C594" t="str">
        <x:v>L1</x:v>
      </x:c>
      <x:c r="D594" t="str">
        <x:v>Envasado A</x:v>
      </x:c>
      <x:c r="E594" t="str">
        <x:v>Matutino</x:v>
      </x:c>
      <x:c r="F594" t="str">
        <x:v>ELE</x:v>
      </x:c>
      <x:c r="G594" t="str">
        <x:v>Falla eléctrica</x:v>
      </x:c>
      <x:c r="H594" t="str">
        <x:v>Mantenimiento</x:v>
      </x:c>
      <x:c r="I594" t="n">
        <x:v>26</x:v>
      </x:c>
      <x:c r="J594" t="str">
        <x:v>Cerrada</x:v>
      </x:c>
      <x:c r="K594" t="str">
        <x:v>Abastecimiento</x:v>
      </x:c>
    </x:row>
    <x:row r="595">
      <x:c r="A595" t="n">
        <x:v>594</x:v>
      </x:c>
      <x:c r="B595" t="str">
        <x:v>2026-09-10</x:v>
      </x:c>
      <x:c r="C595" t="str">
        <x:v>L1</x:v>
      </x:c>
      <x:c r="D595" t="str">
        <x:v>Envasado A</x:v>
      </x:c>
      <x:c r="E595" t="str">
        <x:v>Vespertino</x:v>
      </x:c>
      <x:c r="F595" t="str">
        <x:v>ELE</x:v>
      </x:c>
      <x:c r="G595" t="str">
        <x:v>Falla eléctrica</x:v>
      </x:c>
      <x:c r="H595" t="str">
        <x:v>Mantenimiento</x:v>
      </x:c>
      <x:c r="I595" t="n">
        <x:v>25</x:v>
      </x:c>
      <x:c r="J595" t="str">
        <x:v>Abierta</x:v>
      </x:c>
      <x:c r="K595" t="str">
        <x:v>Abastecimiento</x:v>
      </x:c>
    </x:row>
    <x:row r="596">
      <x:c r="A596" t="n">
        <x:v>595</x:v>
      </x:c>
      <x:c r="B596" t="str">
        <x:v>2026-09-10</x:v>
      </x:c>
      <x:c r="C596" t="str">
        <x:v>L2</x:v>
      </x:c>
      <x:c r="D596" t="str">
        <x:v>Envasado B</x:v>
      </x:c>
      <x:c r="E596" t="str">
        <x:v>Matutino</x:v>
      </x:c>
      <x:c r="F596" t="str">
        <x:v>CAL</x:v>
      </x:c>
      <x:c r="G596" t="str">
        <x:v>Ajuste de calidad</x:v>
      </x:c>
      <x:c r="H596" t="str">
        <x:v>Calidad</x:v>
      </x:c>
      <x:c r="I596" t="n">
        <x:v>3</x:v>
      </x:c>
      <x:c r="J596" t="str">
        <x:v>Cerrada</x:v>
      </x:c>
      <x:c r="K596" t="str">
        <x:v>Abastecimiento</x:v>
      </x:c>
    </x:row>
    <x:row r="597">
      <x:c r="A597" t="n">
        <x:v>596</x:v>
      </x:c>
      <x:c r="B597" t="str">
        <x:v>2026-09-10</x:v>
      </x:c>
      <x:c r="C597" t="str">
        <x:v>L2</x:v>
      </x:c>
      <x:c r="D597" t="str">
        <x:v>Envasado B</x:v>
      </x:c>
      <x:c r="E597" t="str">
        <x:v>Vespertino</x:v>
      </x:c>
      <x:c r="F597" t="str">
        <x:v>ELE</x:v>
      </x:c>
      <x:c r="G597" t="str">
        <x:v>Falla eléctrica</x:v>
      </x:c>
      <x:c r="H597" t="str">
        <x:v>Mantenimiento</x:v>
      </x:c>
      <x:c r="I597" t="n">
        <x:v>40</x:v>
      </x:c>
      <x:c r="J597" t="str">
        <x:v>Cerrada</x:v>
      </x:c>
      <x:c r="K597" t="str">
        <x:v>Abastecimiento</x:v>
      </x:c>
    </x:row>
    <x:row r="598">
      <x:c r="A598" t="n">
        <x:v>597</x:v>
      </x:c>
      <x:c r="B598" t="str">
        <x:v>2026-09-10</x:v>
      </x:c>
      <x:c r="C598" t="str">
        <x:v>L3</x:v>
      </x:c>
      <x:c r="D598" t="str">
        <x:v>Empaque</x:v>
      </x:c>
      <x:c r="E598" t="str">
        <x:v>Matutino</x:v>
      </x:c>
      <x:c r="F598" t="str">
        <x:v>MAT</x:v>
      </x:c>
      <x:c r="G598" t="str">
        <x:v>Falta de material</x:v>
      </x:c>
      <x:c r="H598" t="str">
        <x:v>Logística</x:v>
      </x:c>
      <x:c r="I598" t="n">
        <x:v>27</x:v>
      </x:c>
      <x:c r="J598" t="str">
        <x:v>Cerrada</x:v>
      </x:c>
      <x:c r="K598" t="str">
        <x:v>Inspección y liberación</x:v>
      </x:c>
    </x:row>
    <x:row r="599">
      <x:c r="A599" t="n">
        <x:v>598</x:v>
      </x:c>
      <x:c r="B599" t="str">
        <x:v>2026-09-10</x:v>
      </x:c>
      <x:c r="C599" t="str">
        <x:v>L3</x:v>
      </x:c>
      <x:c r="D599" t="str">
        <x:v>Empaque</x:v>
      </x:c>
      <x:c r="E599" t="str">
        <x:v>Matutino</x:v>
      </x:c>
      <x:c r="F599" t="str">
        <x:v>ELE</x:v>
      </x:c>
      <x:c r="G599" t="str">
        <x:v>Falla eléctrica</x:v>
      </x:c>
      <x:c r="H599" t="str">
        <x:v>Mantenimiento</x:v>
      </x:c>
      <x:c r="I599" t="n">
        <x:v>19</x:v>
      </x:c>
      <x:c r="J599" t="str">
        <x:v>Cerrada</x:v>
      </x:c>
      <x:c r="K599" t="str">
        <x:v>Cambio de componente</x:v>
      </x:c>
    </x:row>
    <x:row r="600">
      <x:c r="A600" t="n">
        <x:v>599</x:v>
      </x:c>
      <x:c r="B600" t="str">
        <x:v>2026-09-10</x:v>
      </x:c>
      <x:c r="C600" t="str">
        <x:v>L3</x:v>
      </x:c>
      <x:c r="D600" t="str">
        <x:v>Empaque</x:v>
      </x:c>
      <x:c r="E600" t="str">
        <x:v>Vespertino</x:v>
      </x:c>
      <x:c r="F600" t="str">
        <x:v>CAL</x:v>
      </x:c>
      <x:c r="G600" t="str">
        <x:v>Ajuste de calidad</x:v>
      </x:c>
      <x:c r="H600" t="str">
        <x:v>Calidad</x:v>
      </x:c>
      <x:c r="I600" t="n">
        <x:v>16</x:v>
      </x:c>
      <x:c r="J600" t="str">
        <x:v>Cerrada</x:v>
      </x:c>
      <x:c r="K600" t="str">
        <x:v>Cambio de componente</x:v>
      </x:c>
    </x:row>
    <x:row r="601">
      <x:c r="A601" t="n">
        <x:v>600</x:v>
      </x:c>
      <x:c r="B601" t="str">
        <x:v>2026-09-10</x:v>
      </x:c>
      <x:c r="C601" t="str">
        <x:v>L4</x:v>
      </x:c>
      <x:c r="D601" t="str">
        <x:v>Etiquetado</x:v>
      </x:c>
      <x:c r="E601" t="str">
        <x:v>Matutino</x:v>
      </x:c>
      <x:c r="F601" t="str">
        <x:v>MAT</x:v>
      </x:c>
      <x:c r="G601" t="str">
        <x:v>Falta de material</x:v>
      </x:c>
      <x:c r="H601" t="str">
        <x:v>Logística</x:v>
      </x:c>
      <x:c r="I601" t="n">
        <x:v>6</x:v>
      </x:c>
      <x:c r="J601" t="str">
        <x:v>Cerrada</x:v>
      </x:c>
      <x:c r="K601" t="str">
        <x:v>Abastecimiento</x:v>
      </x:c>
    </x:row>
    <x:row r="602">
      <x:c r="A602" t="n">
        <x:v>601</x:v>
      </x:c>
      <x:c r="B602" t="str">
        <x:v>2026-09-11</x:v>
      </x:c>
      <x:c r="C602" t="str">
        <x:v>L1</x:v>
      </x:c>
      <x:c r="D602" t="str">
        <x:v>Envasado A</x:v>
      </x:c>
      <x:c r="E602" t="str">
        <x:v>Matutino</x:v>
      </x:c>
      <x:c r="F602" t="str">
        <x:v>CAL</x:v>
      </x:c>
      <x:c r="G602" t="str">
        <x:v>Ajuste de calidad</x:v>
      </x:c>
      <x:c r="H602" t="str">
        <x:v>Calidad</x:v>
      </x:c>
      <x:c r="I602" t="n">
        <x:v>28</x:v>
      </x:c>
      <x:c r="J602" t="str">
        <x:v>Cerrada</x:v>
      </x:c>
      <x:c r="K602" t="str">
        <x:v>Reinicio controlado</x:v>
      </x:c>
    </x:row>
    <x:row r="603">
      <x:c r="A603" t="n">
        <x:v>602</x:v>
      </x:c>
      <x:c r="B603" t="str">
        <x:v>2026-09-11</x:v>
      </x:c>
      <x:c r="C603" t="str">
        <x:v>L1</x:v>
      </x:c>
      <x:c r="D603" t="str">
        <x:v>Envasado A</x:v>
      </x:c>
      <x:c r="E603" t="str">
        <x:v>Matutino</x:v>
      </x:c>
      <x:c r="F603" t="str">
        <x:v>MEC</x:v>
      </x:c>
      <x:c r="G603" t="str">
        <x:v>Falla mecánica</x:v>
      </x:c>
      <x:c r="H603" t="str">
        <x:v>Mantenimiento</x:v>
      </x:c>
      <x:c r="I603" t="n">
        <x:v>17</x:v>
      </x:c>
      <x:c r="J603" t="str">
        <x:v>Abierta</x:v>
      </x:c>
      <x:c r="K603" t="str">
        <x:v>Cambio de componente</x:v>
      </x:c>
    </x:row>
    <x:row r="604">
      <x:c r="A604" t="n">
        <x:v>603</x:v>
      </x:c>
      <x:c r="B604" t="str">
        <x:v>2026-09-11</x:v>
      </x:c>
      <x:c r="C604" t="str">
        <x:v>L1</x:v>
      </x:c>
      <x:c r="D604" t="str">
        <x:v>Envasado A</x:v>
      </x:c>
      <x:c r="E604" t="str">
        <x:v>Vespertino</x:v>
      </x:c>
      <x:c r="F604" t="str">
        <x:v>MAT</x:v>
      </x:c>
      <x:c r="G604" t="str">
        <x:v>Falta de material</x:v>
      </x:c>
      <x:c r="H604" t="str">
        <x:v>Logística</x:v>
      </x:c>
      <x:c r="I604" t="n">
        <x:v>28</x:v>
      </x:c>
      <x:c r="J604" t="str">
        <x:v>Cerrada</x:v>
      </x:c>
      <x:c r="K604" t="str">
        <x:v>Ajuste y prueba</x:v>
      </x:c>
    </x:row>
    <x:row r="605">
      <x:c r="A605" t="n">
        <x:v>604</x:v>
      </x:c>
      <x:c r="B605" t="str">
        <x:v>2026-09-11</x:v>
      </x:c>
      <x:c r="C605" t="str">
        <x:v>L2</x:v>
      </x:c>
      <x:c r="D605" t="str">
        <x:v>Envasado B</x:v>
      </x:c>
      <x:c r="E605" t="str">
        <x:v>Matutino</x:v>
      </x:c>
      <x:c r="F605" t="str">
        <x:v>CAM</x:v>
      </x:c>
      <x:c r="G605" t="str">
        <x:v>Cambio de formato</x:v>
      </x:c>
      <x:c r="H605" t="str">
        <x:v>Producción</x:v>
      </x:c>
      <x:c r="I605" t="n">
        <x:v>21</x:v>
      </x:c>
      <x:c r="J605" t="str">
        <x:v>Cerrada</x:v>
      </x:c>
      <x:c r="K605" t="str">
        <x:v>Abastecimiento</x:v>
      </x:c>
    </x:row>
    <x:row r="606">
      <x:c r="A606" t="n">
        <x:v>605</x:v>
      </x:c>
      <x:c r="B606" t="str">
        <x:v>2026-09-11</x:v>
      </x:c>
      <x:c r="C606" t="str">
        <x:v>L2</x:v>
      </x:c>
      <x:c r="D606" t="str">
        <x:v>Envasado B</x:v>
      </x:c>
      <x:c r="E606" t="str">
        <x:v>Matutino</x:v>
      </x:c>
      <x:c r="F606" t="str">
        <x:v>MAT</x:v>
      </x:c>
      <x:c r="G606" t="str">
        <x:v>Falta de material</x:v>
      </x:c>
      <x:c r="H606" t="str">
        <x:v>Logística</x:v>
      </x:c>
      <x:c r="I606" t="n">
        <x:v>42</x:v>
      </x:c>
      <x:c r="J606" t="str">
        <x:v>Cerrada</x:v>
      </x:c>
      <x:c r="K606" t="str">
        <x:v>Cambio de componente</x:v>
      </x:c>
    </x:row>
    <x:row r="607">
      <x:c r="A607" t="n">
        <x:v>606</x:v>
      </x:c>
      <x:c r="B607" t="str">
        <x:v>2026-09-11</x:v>
      </x:c>
      <x:c r="C607" t="str">
        <x:v>L2</x:v>
      </x:c>
      <x:c r="D607" t="str">
        <x:v>Envasado B</x:v>
      </x:c>
      <x:c r="E607" t="str">
        <x:v>Vespertino</x:v>
      </x:c>
      <x:c r="F607" t="str">
        <x:v>ELE</x:v>
      </x:c>
      <x:c r="G607" t="str">
        <x:v>Falla eléctrica</x:v>
      </x:c>
      <x:c r="H607" t="str">
        <x:v>Mantenimiento</x:v>
      </x:c>
      <x:c r="I607" t="n">
        <x:v>46</x:v>
      </x:c>
      <x:c r="J607" t="str">
        <x:v>Cerrada</x:v>
      </x:c>
      <x:c r="K607" t="str">
        <x:v>Ajuste y prueba</x:v>
      </x:c>
    </x:row>
    <x:row r="608">
      <x:c r="A608" t="n">
        <x:v>607</x:v>
      </x:c>
      <x:c r="B608" t="str">
        <x:v>2026-09-11</x:v>
      </x:c>
      <x:c r="C608" t="str">
        <x:v>L3</x:v>
      </x:c>
      <x:c r="D608" t="str">
        <x:v>Empaque</x:v>
      </x:c>
      <x:c r="E608" t="str">
        <x:v>Matutino</x:v>
      </x:c>
      <x:c r="F608" t="str">
        <x:v>CAL</x:v>
      </x:c>
      <x:c r="G608" t="str">
        <x:v>Ajuste de calidad</x:v>
      </x:c>
      <x:c r="H608" t="str">
        <x:v>Calidad</x:v>
      </x:c>
      <x:c r="I608" t="n">
        <x:v>19</x:v>
      </x:c>
      <x:c r="J608" t="str">
        <x:v>Cerrada</x:v>
      </x:c>
      <x:c r="K608" t="str">
        <x:v>Inspección y liberación</x:v>
      </x:c>
    </x:row>
    <x:row r="609">
      <x:c r="A609" t="n">
        <x:v>608</x:v>
      </x:c>
      <x:c r="B609" t="str">
        <x:v>2026-09-11</x:v>
      </x:c>
      <x:c r="C609" t="str">
        <x:v>L3</x:v>
      </x:c>
      <x:c r="D609" t="str">
        <x:v>Empaque</x:v>
      </x:c>
      <x:c r="E609" t="str">
        <x:v>Vespertino</x:v>
      </x:c>
      <x:c r="F609" t="str">
        <x:v>CAL</x:v>
      </x:c>
      <x:c r="G609" t="str">
        <x:v>Ajuste de calidad</x:v>
      </x:c>
      <x:c r="H609" t="str">
        <x:v>Calidad</x:v>
      </x:c>
      <x:c r="I609" t="n">
        <x:v>34</x:v>
      </x:c>
      <x:c r="J609" t="str">
        <x:v>Cerrada</x:v>
      </x:c>
      <x:c r="K609" t="str">
        <x:v>Inspección y liberación</x:v>
      </x:c>
    </x:row>
    <x:row r="610">
      <x:c r="A610" t="n">
        <x:v>609</x:v>
      </x:c>
      <x:c r="B610" t="str">
        <x:v>2026-09-11</x:v>
      </x:c>
      <x:c r="C610" t="str">
        <x:v>L4</x:v>
      </x:c>
      <x:c r="D610" t="str">
        <x:v>Etiquetado</x:v>
      </x:c>
      <x:c r="E610" t="str">
        <x:v>Matutino</x:v>
      </x:c>
      <x:c r="F610" t="str">
        <x:v>MEC</x:v>
      </x:c>
      <x:c r="G610" t="str">
        <x:v>Falla mecánica</x:v>
      </x:c>
      <x:c r="H610" t="str">
        <x:v>Mantenimiento</x:v>
      </x:c>
      <x:c r="I610" t="n">
        <x:v>15</x:v>
      </x:c>
      <x:c r="J610" t="str">
        <x:v>Cerrada</x:v>
      </x:c>
      <x:c r="K610" t="str">
        <x:v>Ajuste y prueba</x:v>
      </x:c>
    </x:row>
    <x:row r="611">
      <x:c r="A611" t="n">
        <x:v>610</x:v>
      </x:c>
      <x:c r="B611" t="str">
        <x:v>2026-09-11</x:v>
      </x:c>
      <x:c r="C611" t="str">
        <x:v>L4</x:v>
      </x:c>
      <x:c r="D611" t="str">
        <x:v>Etiquetado</x:v>
      </x:c>
      <x:c r="E611" t="str">
        <x:v>Matutino</x:v>
      </x:c>
      <x:c r="F611" t="str">
        <x:v>CAM</x:v>
      </x:c>
      <x:c r="G611" t="str">
        <x:v>Cambio de formato</x:v>
      </x:c>
      <x:c r="H611" t="str">
        <x:v>Producción</x:v>
      </x:c>
      <x:c r="I611" t="n">
        <x:v>38</x:v>
      </x:c>
      <x:c r="J611" t="str">
        <x:v>Cerrada</x:v>
      </x:c>
      <x:c r="K611" t="str">
        <x:v>Inspección y liberación</x:v>
      </x:c>
    </x:row>
    <x:row r="612">
      <x:c r="A612" t="n">
        <x:v>611</x:v>
      </x:c>
      <x:c r="B612" t="str">
        <x:v>2026-09-11</x:v>
      </x:c>
      <x:c r="C612" t="str">
        <x:v>L4</x:v>
      </x:c>
      <x:c r="D612" t="str">
        <x:v>Etiquetado</x:v>
      </x:c>
      <x:c r="E612" t="str">
        <x:v>Vespertino</x:v>
      </x:c>
      <x:c r="F612" t="str">
        <x:v>CAL</x:v>
      </x:c>
      <x:c r="G612" t="str">
        <x:v>Ajuste de calidad</x:v>
      </x:c>
      <x:c r="H612" t="str">
        <x:v>Calidad</x:v>
      </x:c>
      <x:c r="I612" t="n">
        <x:v>11</x:v>
      </x:c>
      <x:c r="J612" t="str">
        <x:v>Cerrada</x:v>
      </x:c>
      <x:c r="K612" t="str">
        <x:v>Reinicio controlado</x:v>
      </x:c>
    </x:row>
    <x:row r="613">
      <x:c r="A613" t="n">
        <x:v>612</x:v>
      </x:c>
      <x:c r="B613" t="str">
        <x:v>2026-09-12</x:v>
      </x:c>
      <x:c r="C613" t="str">
        <x:v>L1</x:v>
      </x:c>
      <x:c r="D613" t="str">
        <x:v>Envasado A</x:v>
      </x:c>
      <x:c r="E613" t="str">
        <x:v>Matutino</x:v>
      </x:c>
      <x:c r="F613" t="str">
        <x:v>ELE</x:v>
      </x:c>
      <x:c r="G613" t="str">
        <x:v>Falla eléctrica</x:v>
      </x:c>
      <x:c r="H613" t="str">
        <x:v>Mantenimiento</x:v>
      </x:c>
      <x:c r="I613" t="n">
        <x:v>5</x:v>
      </x:c>
      <x:c r="J613" t="str">
        <x:v>Cerrada</x:v>
      </x:c>
      <x:c r="K613" t="str">
        <x:v>Abastecimiento</x:v>
      </x:c>
    </x:row>
    <x:row r="614">
      <x:c r="A614" t="n">
        <x:v>613</x:v>
      </x:c>
      <x:c r="B614" t="str">
        <x:v>2026-09-12</x:v>
      </x:c>
      <x:c r="C614" t="str">
        <x:v>L1</x:v>
      </x:c>
      <x:c r="D614" t="str">
        <x:v>Envasado A</x:v>
      </x:c>
      <x:c r="E614" t="str">
        <x:v>Vespertino</x:v>
      </x:c>
      <x:c r="F614" t="str">
        <x:v>CAM</x:v>
      </x:c>
      <x:c r="G614" t="str">
        <x:v>Cambio de formato</x:v>
      </x:c>
      <x:c r="H614" t="str">
        <x:v>Producción</x:v>
      </x:c>
      <x:c r="I614" t="n">
        <x:v>17</x:v>
      </x:c>
      <x:c r="J614" t="str">
        <x:v>Cerrada</x:v>
      </x:c>
      <x:c r="K614" t="str">
        <x:v>Cambio de componente</x:v>
      </x:c>
    </x:row>
    <x:row r="615">
      <x:c r="A615" t="n">
        <x:v>614</x:v>
      </x:c>
      <x:c r="B615" t="str">
        <x:v>2026-09-12</x:v>
      </x:c>
      <x:c r="C615" t="str">
        <x:v>L2</x:v>
      </x:c>
      <x:c r="D615" t="str">
        <x:v>Envasado B</x:v>
      </x:c>
      <x:c r="E615" t="str">
        <x:v>Matutino</x:v>
      </x:c>
      <x:c r="F615" t="str">
        <x:v>ELE</x:v>
      </x:c>
      <x:c r="G615" t="str">
        <x:v>Falla eléctrica</x:v>
      </x:c>
      <x:c r="H615" t="str">
        <x:v>Mantenimiento</x:v>
      </x:c>
      <x:c r="I615" t="n">
        <x:v>37</x:v>
      </x:c>
      <x:c r="J615" t="str">
        <x:v>Cerrada</x:v>
      </x:c>
      <x:c r="K615" t="str">
        <x:v>Ajuste y prueba</x:v>
      </x:c>
    </x:row>
    <x:row r="616">
      <x:c r="A616" t="n">
        <x:v>615</x:v>
      </x:c>
      <x:c r="B616" t="str">
        <x:v>2026-09-12</x:v>
      </x:c>
      <x:c r="C616" t="str">
        <x:v>L2</x:v>
      </x:c>
      <x:c r="D616" t="str">
        <x:v>Envasado B</x:v>
      </x:c>
      <x:c r="E616" t="str">
        <x:v>Vespertino</x:v>
      </x:c>
      <x:c r="F616" t="str">
        <x:v>MEC</x:v>
      </x:c>
      <x:c r="G616" t="str">
        <x:v>Falla mecánica</x:v>
      </x:c>
      <x:c r="H616" t="str">
        <x:v>Mantenimiento</x:v>
      </x:c>
      <x:c r="I616" t="n">
        <x:v>32</x:v>
      </x:c>
      <x:c r="J616" t="str">
        <x:v>Cerrada</x:v>
      </x:c>
      <x:c r="K616" t="str">
        <x:v>Abastecimiento</x:v>
      </x:c>
    </x:row>
    <x:row r="617">
      <x:c r="A617" t="n">
        <x:v>616</x:v>
      </x:c>
      <x:c r="B617" t="str">
        <x:v>2026-09-12</x:v>
      </x:c>
      <x:c r="C617" t="str">
        <x:v>L2</x:v>
      </x:c>
      <x:c r="D617" t="str">
        <x:v>Envasado B</x:v>
      </x:c>
      <x:c r="E617" t="str">
        <x:v>Vespertino</x:v>
      </x:c>
      <x:c r="F617" t="str">
        <x:v>ELE</x:v>
      </x:c>
      <x:c r="G617" t="str">
        <x:v>Falla eléctrica</x:v>
      </x:c>
      <x:c r="H617" t="str">
        <x:v>Mantenimiento</x:v>
      </x:c>
      <x:c r="I617" t="n">
        <x:v>15</x:v>
      </x:c>
      <x:c r="J617" t="str">
        <x:v>Cerrada</x:v>
      </x:c>
      <x:c r="K617" t="str">
        <x:v>Ajuste y prueba</x:v>
      </x:c>
    </x:row>
    <x:row r="618">
      <x:c r="A618" t="n">
        <x:v>617</x:v>
      </x:c>
      <x:c r="B618" t="str">
        <x:v>2026-09-12</x:v>
      </x:c>
      <x:c r="C618" t="str">
        <x:v>L2</x:v>
      </x:c>
      <x:c r="D618" t="str">
        <x:v>Envasado B</x:v>
      </x:c>
      <x:c r="E618" t="str">
        <x:v>Vespertino</x:v>
      </x:c>
      <x:c r="F618" t="str">
        <x:v>ELE</x:v>
      </x:c>
      <x:c r="G618" t="str">
        <x:v>Falla eléctrica</x:v>
      </x:c>
      <x:c r="H618" t="str">
        <x:v>Mantenimiento</x:v>
      </x:c>
      <x:c r="I618" t="n">
        <x:v>20</x:v>
      </x:c>
      <x:c r="J618" t="str">
        <x:v>Cerrada</x:v>
      </x:c>
      <x:c r="K618" t="str">
        <x:v>Inspección y liberación</x:v>
      </x:c>
    </x:row>
    <x:row r="619">
      <x:c r="A619" t="n">
        <x:v>618</x:v>
      </x:c>
      <x:c r="B619" t="str">
        <x:v>2026-09-12</x:v>
      </x:c>
      <x:c r="C619" t="str">
        <x:v>L3</x:v>
      </x:c>
      <x:c r="D619" t="str">
        <x:v>Empaque</x:v>
      </x:c>
      <x:c r="E619" t="str">
        <x:v>Matutino</x:v>
      </x:c>
      <x:c r="F619" t="str">
        <x:v>CAM</x:v>
      </x:c>
      <x:c r="G619" t="str">
        <x:v>Cambio de formato</x:v>
      </x:c>
      <x:c r="H619" t="str">
        <x:v>Producción</x:v>
      </x:c>
      <x:c r="I619" t="n">
        <x:v>35</x:v>
      </x:c>
      <x:c r="J619" t="str">
        <x:v>Cerrada</x:v>
      </x:c>
      <x:c r="K619" t="str">
        <x:v>Abastecimiento</x:v>
      </x:c>
    </x:row>
    <x:row r="620">
      <x:c r="A620" t="n">
        <x:v>619</x:v>
      </x:c>
      <x:c r="B620" t="str">
        <x:v>2026-09-12</x:v>
      </x:c>
      <x:c r="C620" t="str">
        <x:v>L3</x:v>
      </x:c>
      <x:c r="D620" t="str">
        <x:v>Empaque</x:v>
      </x:c>
      <x:c r="E620" t="str">
        <x:v>Vespertino</x:v>
      </x:c>
      <x:c r="F620" t="str">
        <x:v>ELE</x:v>
      </x:c>
      <x:c r="G620" t="str">
        <x:v>Falla eléctrica</x:v>
      </x:c>
      <x:c r="H620" t="str">
        <x:v>Mantenimiento</x:v>
      </x:c>
      <x:c r="I620" t="n">
        <x:v>15</x:v>
      </x:c>
      <x:c r="J620" t="str">
        <x:v>Cerrada</x:v>
      </x:c>
      <x:c r="K620" t="str">
        <x:v>Abastecimiento</x:v>
      </x:c>
    </x:row>
    <x:row r="621">
      <x:c r="A621" t="n">
        <x:v>620</x:v>
      </x:c>
      <x:c r="B621" t="str">
        <x:v>2026-09-12</x:v>
      </x:c>
      <x:c r="C621" t="str">
        <x:v>L4</x:v>
      </x:c>
      <x:c r="D621" t="str">
        <x:v>Etiquetado</x:v>
      </x:c>
      <x:c r="E621" t="str">
        <x:v>Matutino</x:v>
      </x:c>
      <x:c r="F621" t="str">
        <x:v>MEC</x:v>
      </x:c>
      <x:c r="G621" t="str">
        <x:v>Falla mecánica</x:v>
      </x:c>
      <x:c r="H621" t="str">
        <x:v>Mantenimiento</x:v>
      </x:c>
      <x:c r="I621" t="n">
        <x:v>32</x:v>
      </x:c>
      <x:c r="J621" t="str">
        <x:v>Cerrada</x:v>
      </x:c>
      <x:c r="K621" t="str">
        <x:v>Reinicio controlado</x:v>
      </x:c>
    </x:row>
    <x:row r="622">
      <x:c r="A622" t="n">
        <x:v>621</x:v>
      </x:c>
      <x:c r="B622" t="str">
        <x:v>2026-09-12</x:v>
      </x:c>
      <x:c r="C622" t="str">
        <x:v>L4</x:v>
      </x:c>
      <x:c r="D622" t="str">
        <x:v>Etiquetado</x:v>
      </x:c>
      <x:c r="E622" t="str">
        <x:v>Vespertino</x:v>
      </x:c>
      <x:c r="F622" t="str">
        <x:v>CAM</x:v>
      </x:c>
      <x:c r="G622" t="str">
        <x:v>Cambio de formato</x:v>
      </x:c>
      <x:c r="H622" t="str">
        <x:v>Producción</x:v>
      </x:c>
      <x:c r="I622" t="n">
        <x:v>9</x:v>
      </x:c>
      <x:c r="J622" t="str">
        <x:v>Abierta</x:v>
      </x:c>
      <x:c r="K622" t="str">
        <x:v>Inspección y liberación</x:v>
      </x:c>
    </x:row>
    <x:row r="623">
      <x:c r="A623" t="n">
        <x:v>622</x:v>
      </x:c>
      <x:c r="B623" t="str">
        <x:v>2026-09-13</x:v>
      </x:c>
      <x:c r="C623" t="str">
        <x:v>L1</x:v>
      </x:c>
      <x:c r="D623" t="str">
        <x:v>Envasado A</x:v>
      </x:c>
      <x:c r="E623" t="str">
        <x:v>Matutino</x:v>
      </x:c>
      <x:c r="F623" t="str">
        <x:v>MEC</x:v>
      </x:c>
      <x:c r="G623" t="str">
        <x:v>Falla mecánica</x:v>
      </x:c>
      <x:c r="H623" t="str">
        <x:v>Mantenimiento</x:v>
      </x:c>
      <x:c r="I623" t="n">
        <x:v>26</x:v>
      </x:c>
      <x:c r="J623" t="str">
        <x:v>Cerrada</x:v>
      </x:c>
      <x:c r="K623" t="str">
        <x:v>Abastecimiento</x:v>
      </x:c>
    </x:row>
    <x:row r="624">
      <x:c r="A624" t="n">
        <x:v>623</x:v>
      </x:c>
      <x:c r="B624" t="str">
        <x:v>2026-09-13</x:v>
      </x:c>
      <x:c r="C624" t="str">
        <x:v>L1</x:v>
      </x:c>
      <x:c r="D624" t="str">
        <x:v>Envasado A</x:v>
      </x:c>
      <x:c r="E624" t="str">
        <x:v>Vespertino</x:v>
      </x:c>
      <x:c r="F624" t="str">
        <x:v>MEC</x:v>
      </x:c>
      <x:c r="G624" t="str">
        <x:v>Falla mecánica</x:v>
      </x:c>
      <x:c r="H624" t="str">
        <x:v>Mantenimiento</x:v>
      </x:c>
      <x:c r="I624" t="n">
        <x:v>24</x:v>
      </x:c>
      <x:c r="J624" t="str">
        <x:v>Cerrada</x:v>
      </x:c>
      <x:c r="K624" t="str">
        <x:v>Inspección y liberación</x:v>
      </x:c>
    </x:row>
    <x:row r="625">
      <x:c r="A625" t="n">
        <x:v>624</x:v>
      </x:c>
      <x:c r="B625" t="str">
        <x:v>2026-09-13</x:v>
      </x:c>
      <x:c r="C625" t="str">
        <x:v>L2</x:v>
      </x:c>
      <x:c r="D625" t="str">
        <x:v>Envasado B</x:v>
      </x:c>
      <x:c r="E625" t="str">
        <x:v>Matutino</x:v>
      </x:c>
      <x:c r="F625" t="str">
        <x:v>CAL</x:v>
      </x:c>
      <x:c r="G625" t="str">
        <x:v>Ajuste de calidad</x:v>
      </x:c>
      <x:c r="H625" t="str">
        <x:v>Calidad</x:v>
      </x:c>
      <x:c r="I625" t="n">
        <x:v>30</x:v>
      </x:c>
      <x:c r="J625" t="str">
        <x:v>Cerrada</x:v>
      </x:c>
      <x:c r="K625" t="str">
        <x:v>Ajuste y prueba</x:v>
      </x:c>
    </x:row>
    <x:row r="626">
      <x:c r="A626" t="n">
        <x:v>625</x:v>
      </x:c>
      <x:c r="B626" t="str">
        <x:v>2026-09-14</x:v>
      </x:c>
      <x:c r="C626" t="str">
        <x:v>L1</x:v>
      </x:c>
      <x:c r="D626" t="str">
        <x:v>Envasado A</x:v>
      </x:c>
      <x:c r="E626" t="str">
        <x:v>Matutino</x:v>
      </x:c>
      <x:c r="F626" t="str">
        <x:v>CAL</x:v>
      </x:c>
      <x:c r="G626" t="str">
        <x:v>Ajuste de calidad</x:v>
      </x:c>
      <x:c r="H626" t="str">
        <x:v>Calidad</x:v>
      </x:c>
      <x:c r="I626" t="n">
        <x:v>31</x:v>
      </x:c>
      <x:c r="J626" t="str">
        <x:v>Cerrada</x:v>
      </x:c>
      <x:c r="K626" t="str">
        <x:v>Inspección y liberación</x:v>
      </x:c>
    </x:row>
    <x:row r="627">
      <x:c r="A627" t="n">
        <x:v>626</x:v>
      </x:c>
      <x:c r="B627" t="str">
        <x:v>2026-09-14</x:v>
      </x:c>
      <x:c r="C627" t="str">
        <x:v>L1</x:v>
      </x:c>
      <x:c r="D627" t="str">
        <x:v>Envasado A</x:v>
      </x:c>
      <x:c r="E627" t="str">
        <x:v>Vespertino</x:v>
      </x:c>
      <x:c r="F627" t="str">
        <x:v>ELE</x:v>
      </x:c>
      <x:c r="G627" t="str">
        <x:v>Falla eléctrica</x:v>
      </x:c>
      <x:c r="H627" t="str">
        <x:v>Mantenimiento</x:v>
      </x:c>
      <x:c r="I627" t="n">
        <x:v>71</x:v>
      </x:c>
      <x:c r="J627" t="str">
        <x:v>Cerrada</x:v>
      </x:c>
      <x:c r="K627" t="str">
        <x:v>Abastecimiento</x:v>
      </x:c>
    </x:row>
    <x:row r="628">
      <x:c r="A628" t="n">
        <x:v>627</x:v>
      </x:c>
      <x:c r="B628" t="str">
        <x:v>2026-09-14</x:v>
      </x:c>
      <x:c r="C628" t="str">
        <x:v>L2</x:v>
      </x:c>
      <x:c r="D628" t="str">
        <x:v>Envasado B</x:v>
      </x:c>
      <x:c r="E628" t="str">
        <x:v>Matutino</x:v>
      </x:c>
      <x:c r="F628" t="str">
        <x:v>CAM</x:v>
      </x:c>
      <x:c r="G628" t="str">
        <x:v>Cambio de formato</x:v>
      </x:c>
      <x:c r="H628" t="str">
        <x:v>Producción</x:v>
      </x:c>
      <x:c r="I628" t="n">
        <x:v>38</x:v>
      </x:c>
      <x:c r="J628" t="str">
        <x:v>Cerrada</x:v>
      </x:c>
      <x:c r="K628" t="str">
        <x:v>Reinicio controlado</x:v>
      </x:c>
    </x:row>
    <x:row r="629">
      <x:c r="A629" t="n">
        <x:v>628</x:v>
      </x:c>
      <x:c r="B629" t="str">
        <x:v>2026-09-14</x:v>
      </x:c>
      <x:c r="C629" t="str">
        <x:v>L2</x:v>
      </x:c>
      <x:c r="D629" t="str">
        <x:v>Envasado B</x:v>
      </x:c>
      <x:c r="E629" t="str">
        <x:v>Vespertino</x:v>
      </x:c>
      <x:c r="F629" t="str">
        <x:v>CAM</x:v>
      </x:c>
      <x:c r="G629" t="str">
        <x:v>Cambio de formato</x:v>
      </x:c>
      <x:c r="H629" t="str">
        <x:v>Producción</x:v>
      </x:c>
      <x:c r="I629" t="n">
        <x:v>13</x:v>
      </x:c>
      <x:c r="J629" t="str">
        <x:v>Cerrada</x:v>
      </x:c>
      <x:c r="K629" t="str">
        <x:v>Inspección y liberación</x:v>
      </x:c>
    </x:row>
    <x:row r="630">
      <x:c r="A630" t="n">
        <x:v>629</x:v>
      </x:c>
      <x:c r="B630" t="str">
        <x:v>2026-09-14</x:v>
      </x:c>
      <x:c r="C630" t="str">
        <x:v>L2</x:v>
      </x:c>
      <x:c r="D630" t="str">
        <x:v>Envasado B</x:v>
      </x:c>
      <x:c r="E630" t="str">
        <x:v>Vespertino</x:v>
      </x:c>
      <x:c r="F630" t="str">
        <x:v>CAL</x:v>
      </x:c>
      <x:c r="G630" t="str">
        <x:v>Ajuste de calidad</x:v>
      </x:c>
      <x:c r="H630" t="str">
        <x:v>Calidad</x:v>
      </x:c>
      <x:c r="I630" t="n">
        <x:v>9</x:v>
      </x:c>
      <x:c r="J630" t="str">
        <x:v>Cerrada</x:v>
      </x:c>
      <x:c r="K630" t="str">
        <x:v>Abastecimiento</x:v>
      </x:c>
    </x:row>
    <x:row r="631">
      <x:c r="A631" t="n">
        <x:v>630</x:v>
      </x:c>
      <x:c r="B631" t="str">
        <x:v>2026-09-14</x:v>
      </x:c>
      <x:c r="C631" t="str">
        <x:v>L2</x:v>
      </x:c>
      <x:c r="D631" t="str">
        <x:v>Envasado B</x:v>
      </x:c>
      <x:c r="E631" t="str">
        <x:v>Vespertino</x:v>
      </x:c>
      <x:c r="F631" t="str">
        <x:v>CAM</x:v>
      </x:c>
      <x:c r="G631" t="str">
        <x:v>Cambio de formato</x:v>
      </x:c>
      <x:c r="H631" t="str">
        <x:v>Producción</x:v>
      </x:c>
      <x:c r="I631" t="n">
        <x:v>33</x:v>
      </x:c>
      <x:c r="J631" t="str">
        <x:v>Abierta</x:v>
      </x:c>
      <x:c r="K631" t="str">
        <x:v>Inspección y liberación</x:v>
      </x:c>
    </x:row>
    <x:row r="632">
      <x:c r="A632" t="n">
        <x:v>631</x:v>
      </x:c>
      <x:c r="B632" t="str">
        <x:v>2026-09-14</x:v>
      </x:c>
      <x:c r="C632" t="str">
        <x:v>L3</x:v>
      </x:c>
      <x:c r="D632" t="str">
        <x:v>Empaque</x:v>
      </x:c>
      <x:c r="E632" t="str">
        <x:v>Matutino</x:v>
      </x:c>
      <x:c r="F632" t="str">
        <x:v>MEC</x:v>
      </x:c>
      <x:c r="G632" t="str">
        <x:v>Falla mecánica</x:v>
      </x:c>
      <x:c r="H632" t="str">
        <x:v>Mantenimiento</x:v>
      </x:c>
      <x:c r="I632" t="n">
        <x:v>37</x:v>
      </x:c>
      <x:c r="J632" t="str">
        <x:v>Cerrada</x:v>
      </x:c>
      <x:c r="K632" t="str">
        <x:v>Inspección y liberación</x:v>
      </x:c>
    </x:row>
    <x:row r="633">
      <x:c r="A633" t="n">
        <x:v>632</x:v>
      </x:c>
      <x:c r="B633" t="str">
        <x:v>2026-09-14</x:v>
      </x:c>
      <x:c r="C633" t="str">
        <x:v>L3</x:v>
      </x:c>
      <x:c r="D633" t="str">
        <x:v>Empaque</x:v>
      </x:c>
      <x:c r="E633" t="str">
        <x:v>Vespertino</x:v>
      </x:c>
      <x:c r="F633" t="str">
        <x:v>CAL</x:v>
      </x:c>
      <x:c r="G633" t="str">
        <x:v>Ajuste de calidad</x:v>
      </x:c>
      <x:c r="H633" t="str">
        <x:v>Calidad</x:v>
      </x:c>
      <x:c r="I633" t="n">
        <x:v>22</x:v>
      </x:c>
      <x:c r="J633" t="str">
        <x:v>Cerrada</x:v>
      </x:c>
      <x:c r="K633" t="str">
        <x:v>Abastecimiento</x:v>
      </x:c>
    </x:row>
    <x:row r="634">
      <x:c r="A634" t="n">
        <x:v>633</x:v>
      </x:c>
      <x:c r="B634" t="str">
        <x:v>2026-09-14</x:v>
      </x:c>
      <x:c r="C634" t="str">
        <x:v>L4</x:v>
      </x:c>
      <x:c r="D634" t="str">
        <x:v>Etiquetado</x:v>
      </x:c>
      <x:c r="E634" t="str">
        <x:v>Matutino</x:v>
      </x:c>
      <x:c r="F634" t="str">
        <x:v>CAM</x:v>
      </x:c>
      <x:c r="G634" t="str">
        <x:v>Cambio de formato</x:v>
      </x:c>
      <x:c r="H634" t="str">
        <x:v>Producción</x:v>
      </x:c>
      <x:c r="I634" t="n">
        <x:v>18</x:v>
      </x:c>
      <x:c r="J634" t="str">
        <x:v>Abierta</x:v>
      </x:c>
      <x:c r="K634" t="str">
        <x:v>Cambio de componente</x:v>
      </x:c>
    </x:row>
    <x:row r="635">
      <x:c r="A635" t="n">
        <x:v>634</x:v>
      </x:c>
      <x:c r="B635" t="str">
        <x:v>2026-09-14</x:v>
      </x:c>
      <x:c r="C635" t="str">
        <x:v>L4</x:v>
      </x:c>
      <x:c r="D635" t="str">
        <x:v>Etiquetado</x:v>
      </x:c>
      <x:c r="E635" t="str">
        <x:v>Matutino</x:v>
      </x:c>
      <x:c r="F635" t="str">
        <x:v>CAL</x:v>
      </x:c>
      <x:c r="G635" t="str">
        <x:v>Ajuste de calidad</x:v>
      </x:c>
      <x:c r="H635" t="str">
        <x:v>Calidad</x:v>
      </x:c>
      <x:c r="I635" t="n">
        <x:v>22</x:v>
      </x:c>
      <x:c r="J635" t="str">
        <x:v>Cerrada</x:v>
      </x:c>
      <x:c r="K635" t="str">
        <x:v>Abastecimiento</x:v>
      </x:c>
    </x:row>
    <x:row r="636">
      <x:c r="A636" t="n">
        <x:v>635</x:v>
      </x:c>
      <x:c r="B636" t="str">
        <x:v>2026-09-14</x:v>
      </x:c>
      <x:c r="C636" t="str">
        <x:v>L4</x:v>
      </x:c>
      <x:c r="D636" t="str">
        <x:v>Etiquetado</x:v>
      </x:c>
      <x:c r="E636" t="str">
        <x:v>Matutino</x:v>
      </x:c>
      <x:c r="F636" t="str">
        <x:v>MEC</x:v>
      </x:c>
      <x:c r="G636" t="str">
        <x:v>Falla mecánica</x:v>
      </x:c>
      <x:c r="H636" t="str">
        <x:v>Mantenimiento</x:v>
      </x:c>
      <x:c r="I636" t="n">
        <x:v>13</x:v>
      </x:c>
      <x:c r="J636" t="str">
        <x:v>Cerrada</x:v>
      </x:c>
      <x:c r="K636" t="str">
        <x:v>Reinicio controlado</x:v>
      </x:c>
    </x:row>
    <x:row r="637">
      <x:c r="A637" t="n">
        <x:v>636</x:v>
      </x:c>
      <x:c r="B637" t="str">
        <x:v>2026-09-14</x:v>
      </x:c>
      <x:c r="C637" t="str">
        <x:v>L4</x:v>
      </x:c>
      <x:c r="D637" t="str">
        <x:v>Etiquetado</x:v>
      </x:c>
      <x:c r="E637" t="str">
        <x:v>Vespertino</x:v>
      </x:c>
      <x:c r="F637" t="str">
        <x:v>ELE</x:v>
      </x:c>
      <x:c r="G637" t="str">
        <x:v>Falla eléctrica</x:v>
      </x:c>
      <x:c r="H637" t="str">
        <x:v>Mantenimiento</x:v>
      </x:c>
      <x:c r="I637" t="n">
        <x:v>4</x:v>
      </x:c>
      <x:c r="J637" t="str">
        <x:v>Abierta</x:v>
      </x:c>
      <x:c r="K637" t="str">
        <x:v>Ajuste y prueba</x:v>
      </x:c>
    </x:row>
    <x:row r="638">
      <x:c r="A638" t="n">
        <x:v>637</x:v>
      </x:c>
      <x:c r="B638" t="str">
        <x:v>2026-09-15</x:v>
      </x:c>
      <x:c r="C638" t="str">
        <x:v>L1</x:v>
      </x:c>
      <x:c r="D638" t="str">
        <x:v>Envasado A</x:v>
      </x:c>
      <x:c r="E638" t="str">
        <x:v>Matutino</x:v>
      </x:c>
      <x:c r="F638" t="str">
        <x:v>MEC</x:v>
      </x:c>
      <x:c r="G638" t="str">
        <x:v>Falla mecánica</x:v>
      </x:c>
      <x:c r="H638" t="str">
        <x:v>Mantenimiento</x:v>
      </x:c>
      <x:c r="I638" t="n">
        <x:v>24</x:v>
      </x:c>
      <x:c r="J638" t="str">
        <x:v>Cerrada</x:v>
      </x:c>
      <x:c r="K638" t="str">
        <x:v>Reinicio controlado</x:v>
      </x:c>
    </x:row>
    <x:row r="639">
      <x:c r="A639" t="n">
        <x:v>638</x:v>
      </x:c>
      <x:c r="B639" t="str">
        <x:v>2026-09-15</x:v>
      </x:c>
      <x:c r="C639" t="str">
        <x:v>L1</x:v>
      </x:c>
      <x:c r="D639" t="str">
        <x:v>Envasado A</x:v>
      </x:c>
      <x:c r="E639" t="str">
        <x:v>Vespertino</x:v>
      </x:c>
      <x:c r="F639" t="str">
        <x:v>MEC</x:v>
      </x:c>
      <x:c r="G639" t="str">
        <x:v>Falla mecánica</x:v>
      </x:c>
      <x:c r="H639" t="str">
        <x:v>Mantenimiento</x:v>
      </x:c>
      <x:c r="I639" t="n">
        <x:v>43</x:v>
      </x:c>
      <x:c r="J639" t="str">
        <x:v>Cerrada</x:v>
      </x:c>
      <x:c r="K639" t="str">
        <x:v>Inspección y liberación</x:v>
      </x:c>
    </x:row>
    <x:row r="640">
      <x:c r="A640" t="n">
        <x:v>639</x:v>
      </x:c>
      <x:c r="B640" t="str">
        <x:v>2026-09-15</x:v>
      </x:c>
      <x:c r="C640" t="str">
        <x:v>L2</x:v>
      </x:c>
      <x:c r="D640" t="str">
        <x:v>Envasado B</x:v>
      </x:c>
      <x:c r="E640" t="str">
        <x:v>Matutino</x:v>
      </x:c>
      <x:c r="F640" t="str">
        <x:v>CAL</x:v>
      </x:c>
      <x:c r="G640" t="str">
        <x:v>Ajuste de calidad</x:v>
      </x:c>
      <x:c r="H640" t="str">
        <x:v>Calidad</x:v>
      </x:c>
      <x:c r="I640" t="n">
        <x:v>7</x:v>
      </x:c>
      <x:c r="J640" t="str">
        <x:v>Cerrada</x:v>
      </x:c>
      <x:c r="K640" t="str">
        <x:v>Abastecimiento</x:v>
      </x:c>
    </x:row>
    <x:row r="641">
      <x:c r="A641" t="n">
        <x:v>640</x:v>
      </x:c>
      <x:c r="B641" t="str">
        <x:v>2026-09-15</x:v>
      </x:c>
      <x:c r="C641" t="str">
        <x:v>L3</x:v>
      </x:c>
      <x:c r="D641" t="str">
        <x:v>Empaque</x:v>
      </x:c>
      <x:c r="E641" t="str">
        <x:v>Matutino</x:v>
      </x:c>
      <x:c r="F641" t="str">
        <x:v>ELE</x:v>
      </x:c>
      <x:c r="G641" t="str">
        <x:v>Falla eléctrica</x:v>
      </x:c>
      <x:c r="H641" t="str">
        <x:v>Mantenimiento</x:v>
      </x:c>
      <x:c r="I641" t="n">
        <x:v>9</x:v>
      </x:c>
      <x:c r="J641" t="str">
        <x:v>Cerrada</x:v>
      </x:c>
      <x:c r="K641" t="str">
        <x:v>Inspección y liberación</x:v>
      </x:c>
    </x:row>
    <x:row r="642">
      <x:c r="A642" t="n">
        <x:v>641</x:v>
      </x:c>
      <x:c r="B642" t="str">
        <x:v>2026-09-15</x:v>
      </x:c>
      <x:c r="C642" t="str">
        <x:v>L3</x:v>
      </x:c>
      <x:c r="D642" t="str">
        <x:v>Empaque</x:v>
      </x:c>
      <x:c r="E642" t="str">
        <x:v>Matutino</x:v>
      </x:c>
      <x:c r="F642" t="str">
        <x:v>ELE</x:v>
      </x:c>
      <x:c r="G642" t="str">
        <x:v>Falla eléctrica</x:v>
      </x:c>
      <x:c r="H642" t="str">
        <x:v>Mantenimiento</x:v>
      </x:c>
      <x:c r="I642" t="n">
        <x:v>32</x:v>
      </x:c>
      <x:c r="J642" t="str">
        <x:v>Cerrada</x:v>
      </x:c>
      <x:c r="K642" t="str">
        <x:v>Cambio de componente</x:v>
      </x:c>
    </x:row>
    <x:row r="643">
      <x:c r="A643" t="n">
        <x:v>642</x:v>
      </x:c>
      <x:c r="B643" t="str">
        <x:v>2026-09-15</x:v>
      </x:c>
      <x:c r="C643" t="str">
        <x:v>L3</x:v>
      </x:c>
      <x:c r="D643" t="str">
        <x:v>Empaque</x:v>
      </x:c>
      <x:c r="E643" t="str">
        <x:v>Matutino</x:v>
      </x:c>
      <x:c r="F643" t="str">
        <x:v>ELE</x:v>
      </x:c>
      <x:c r="G643" t="str">
        <x:v>Falla eléctrica</x:v>
      </x:c>
      <x:c r="H643" t="str">
        <x:v>Mantenimiento</x:v>
      </x:c>
      <x:c r="I643" t="n">
        <x:v>5</x:v>
      </x:c>
      <x:c r="J643" t="str">
        <x:v>Abierta</x:v>
      </x:c>
      <x:c r="K643" t="str">
        <x:v>Abastecimiento</x:v>
      </x:c>
    </x:row>
    <x:row r="644">
      <x:c r="A644" t="n">
        <x:v>643</x:v>
      </x:c>
      <x:c r="B644" t="str">
        <x:v>2026-09-15</x:v>
      </x:c>
      <x:c r="C644" t="str">
        <x:v>L3</x:v>
      </x:c>
      <x:c r="D644" t="str">
        <x:v>Empaque</x:v>
      </x:c>
      <x:c r="E644" t="str">
        <x:v>Vespertino</x:v>
      </x:c>
      <x:c r="F644" t="str">
        <x:v>MAT</x:v>
      </x:c>
      <x:c r="G644" t="str">
        <x:v>Falta de material</x:v>
      </x:c>
      <x:c r="H644" t="str">
        <x:v>Logística</x:v>
      </x:c>
      <x:c r="I644" t="n">
        <x:v>28</x:v>
      </x:c>
      <x:c r="J644" t="str">
        <x:v>Cerrada</x:v>
      </x:c>
      <x:c r="K644" t="str">
        <x:v>Abastecimiento</x:v>
      </x:c>
    </x:row>
    <x:row r="645">
      <x:c r="A645" t="n">
        <x:v>644</x:v>
      </x:c>
      <x:c r="B645" t="str">
        <x:v>2026-09-15</x:v>
      </x:c>
      <x:c r="C645" t="str">
        <x:v>L4</x:v>
      </x:c>
      <x:c r="D645" t="str">
        <x:v>Etiquetado</x:v>
      </x:c>
      <x:c r="E645" t="str">
        <x:v>Matutino</x:v>
      </x:c>
      <x:c r="F645" t="str">
        <x:v>ELE</x:v>
      </x:c>
      <x:c r="G645" t="str">
        <x:v>Falla eléctrica</x:v>
      </x:c>
      <x:c r="H645" t="str">
        <x:v>Mantenimiento</x:v>
      </x:c>
      <x:c r="I645" t="n">
        <x:v>28</x:v>
      </x:c>
      <x:c r="J645" t="str">
        <x:v>Abierta</x:v>
      </x:c>
      <x:c r="K645" t="str">
        <x:v>Cambio de componente</x:v>
      </x:c>
    </x:row>
    <x:row r="646">
      <x:c r="A646" t="n">
        <x:v>645</x:v>
      </x:c>
      <x:c r="B646" t="str">
        <x:v>2026-09-15</x:v>
      </x:c>
      <x:c r="C646" t="str">
        <x:v>L4</x:v>
      </x:c>
      <x:c r="D646" t="str">
        <x:v>Etiquetado</x:v>
      </x:c>
      <x:c r="E646" t="str">
        <x:v>Matutino</x:v>
      </x:c>
      <x:c r="F646" t="str">
        <x:v>ELE</x:v>
      </x:c>
      <x:c r="G646" t="str">
        <x:v>Falla eléctrica</x:v>
      </x:c>
      <x:c r="H646" t="str">
        <x:v>Mantenimiento</x:v>
      </x:c>
      <x:c r="I646" t="n">
        <x:v>23</x:v>
      </x:c>
      <x:c r="J646" t="str">
        <x:v>Abierta</x:v>
      </x:c>
      <x:c r="K646" t="str">
        <x:v>Inspección y liberación</x:v>
      </x:c>
    </x:row>
    <x:row r="647">
      <x:c r="A647" t="n">
        <x:v>646</x:v>
      </x:c>
      <x:c r="B647" t="str">
        <x:v>2026-09-15</x:v>
      </x:c>
      <x:c r="C647" t="str">
        <x:v>L4</x:v>
      </x:c>
      <x:c r="D647" t="str">
        <x:v>Etiquetado</x:v>
      </x:c>
      <x:c r="E647" t="str">
        <x:v>Vespertino</x:v>
      </x:c>
      <x:c r="F647" t="str">
        <x:v>CAM</x:v>
      </x:c>
      <x:c r="G647" t="str">
        <x:v>Cambio de formato</x:v>
      </x:c>
      <x:c r="H647" t="str">
        <x:v>Producción</x:v>
      </x:c>
      <x:c r="I647" t="n">
        <x:v>8</x:v>
      </x:c>
      <x:c r="J647" t="str">
        <x:v>Cerrada</x:v>
      </x:c>
      <x:c r="K647" t="str">
        <x:v>Abastecimiento</x:v>
      </x:c>
    </x:row>
    <x:row r="648">
      <x:c r="A648" t="n">
        <x:v>647</x:v>
      </x:c>
      <x:c r="B648" t="str">
        <x:v>2026-09-15</x:v>
      </x:c>
      <x:c r="C648" t="str">
        <x:v>L4</x:v>
      </x:c>
      <x:c r="D648" t="str">
        <x:v>Etiquetado</x:v>
      </x:c>
      <x:c r="E648" t="str">
        <x:v>Vespertino</x:v>
      </x:c>
      <x:c r="F648" t="str">
        <x:v>CAL</x:v>
      </x:c>
      <x:c r="G648" t="str">
        <x:v>Ajuste de calidad</x:v>
      </x:c>
      <x:c r="H648" t="str">
        <x:v>Calidad</x:v>
      </x:c>
      <x:c r="I648" t="n">
        <x:v>54</x:v>
      </x:c>
      <x:c r="J648" t="str">
        <x:v>Abierta</x:v>
      </x:c>
      <x:c r="K648" t="str">
        <x:v>Inspección y liberación</x:v>
      </x:c>
    </x:row>
    <x:row r="649">
      <x:c r="A649" t="n">
        <x:v>648</x:v>
      </x:c>
      <x:c r="B649" t="str">
        <x:v>2026-09-16</x:v>
      </x:c>
      <x:c r="C649" t="str">
        <x:v>L1</x:v>
      </x:c>
      <x:c r="D649" t="str">
        <x:v>Envasado A</x:v>
      </x:c>
      <x:c r="E649" t="str">
        <x:v>Matutino</x:v>
      </x:c>
      <x:c r="F649" t="str">
        <x:v>CAM</x:v>
      </x:c>
      <x:c r="G649" t="str">
        <x:v>Cambio de formato</x:v>
      </x:c>
      <x:c r="H649" t="str">
        <x:v>Producción</x:v>
      </x:c>
      <x:c r="I649" t="n">
        <x:v>2</x:v>
      </x:c>
      <x:c r="J649" t="str">
        <x:v>Cerrada</x:v>
      </x:c>
      <x:c r="K649" t="str">
        <x:v>Cambio de componente</x:v>
      </x:c>
    </x:row>
    <x:row r="650">
      <x:c r="A650" t="n">
        <x:v>649</x:v>
      </x:c>
      <x:c r="B650" t="str">
        <x:v>2026-09-16</x:v>
      </x:c>
      <x:c r="C650" t="str">
        <x:v>L1</x:v>
      </x:c>
      <x:c r="D650" t="str">
        <x:v>Envasado A</x:v>
      </x:c>
      <x:c r="E650" t="str">
        <x:v>Vespertino</x:v>
      </x:c>
      <x:c r="F650" t="str">
        <x:v>CAL</x:v>
      </x:c>
      <x:c r="G650" t="str">
        <x:v>Ajuste de calidad</x:v>
      </x:c>
      <x:c r="H650" t="str">
        <x:v>Calidad</x:v>
      </x:c>
      <x:c r="I650" t="n">
        <x:v>29</x:v>
      </x:c>
      <x:c r="J650" t="str">
        <x:v>Cerrada</x:v>
      </x:c>
      <x:c r="K650" t="str">
        <x:v>Abastecimiento</x:v>
      </x:c>
    </x:row>
    <x:row r="651">
      <x:c r="A651" t="n">
        <x:v>650</x:v>
      </x:c>
      <x:c r="B651" t="str">
        <x:v>2026-09-16</x:v>
      </x:c>
      <x:c r="C651" t="str">
        <x:v>L2</x:v>
      </x:c>
      <x:c r="D651" t="str">
        <x:v>Envasado B</x:v>
      </x:c>
      <x:c r="E651" t="str">
        <x:v>Matutino</x:v>
      </x:c>
      <x:c r="F651" t="str">
        <x:v>MEC</x:v>
      </x:c>
      <x:c r="G651" t="str">
        <x:v>Falla mecánica</x:v>
      </x:c>
      <x:c r="H651" t="str">
        <x:v>Mantenimiento</x:v>
      </x:c>
      <x:c r="I651" t="n">
        <x:v>22</x:v>
      </x:c>
      <x:c r="J651" t="str">
        <x:v>Abierta</x:v>
      </x:c>
      <x:c r="K651" t="str">
        <x:v>Cambio de componente</x:v>
      </x:c>
    </x:row>
    <x:row r="652">
      <x:c r="A652" t="n">
        <x:v>651</x:v>
      </x:c>
      <x:c r="B652" t="str">
        <x:v>2026-09-16</x:v>
      </x:c>
      <x:c r="C652" t="str">
        <x:v>L2</x:v>
      </x:c>
      <x:c r="D652" t="str">
        <x:v>Envasado B</x:v>
      </x:c>
      <x:c r="E652" t="str">
        <x:v>Matutino</x:v>
      </x:c>
      <x:c r="F652" t="str">
        <x:v>MAT</x:v>
      </x:c>
      <x:c r="G652" t="str">
        <x:v>Falta de material</x:v>
      </x:c>
      <x:c r="H652" t="str">
        <x:v>Logística</x:v>
      </x:c>
      <x:c r="I652" t="n">
        <x:v>25</x:v>
      </x:c>
      <x:c r="J652" t="str">
        <x:v>Cerrada</x:v>
      </x:c>
      <x:c r="K652" t="str">
        <x:v>Ajuste y prueba</x:v>
      </x:c>
    </x:row>
    <x:row r="653">
      <x:c r="A653" t="n">
        <x:v>652</x:v>
      </x:c>
      <x:c r="B653" t="str">
        <x:v>2026-09-16</x:v>
      </x:c>
      <x:c r="C653" t="str">
        <x:v>L2</x:v>
      </x:c>
      <x:c r="D653" t="str">
        <x:v>Envasado B</x:v>
      </x:c>
      <x:c r="E653" t="str">
        <x:v>Matutino</x:v>
      </x:c>
      <x:c r="F653" t="str">
        <x:v>ELE</x:v>
      </x:c>
      <x:c r="G653" t="str">
        <x:v>Falla eléctrica</x:v>
      </x:c>
      <x:c r="H653" t="str">
        <x:v>Mantenimiento</x:v>
      </x:c>
      <x:c r="I653" t="n">
        <x:v>11</x:v>
      </x:c>
      <x:c r="J653" t="str">
        <x:v>Cerrada</x:v>
      </x:c>
      <x:c r="K653" t="str">
        <x:v>Ajuste y prueba</x:v>
      </x:c>
    </x:row>
    <x:row r="654">
      <x:c r="A654" t="n">
        <x:v>653</x:v>
      </x:c>
      <x:c r="B654" t="str">
        <x:v>2026-09-16</x:v>
      </x:c>
      <x:c r="C654" t="str">
        <x:v>L2</x:v>
      </x:c>
      <x:c r="D654" t="str">
        <x:v>Envasado B</x:v>
      </x:c>
      <x:c r="E654" t="str">
        <x:v>Vespertino</x:v>
      </x:c>
      <x:c r="F654" t="str">
        <x:v>MAT</x:v>
      </x:c>
      <x:c r="G654" t="str">
        <x:v>Falta de material</x:v>
      </x:c>
      <x:c r="H654" t="str">
        <x:v>Logística</x:v>
      </x:c>
      <x:c r="I654" t="n">
        <x:v>28</x:v>
      </x:c>
      <x:c r="J654" t="str">
        <x:v>Abierta</x:v>
      </x:c>
      <x:c r="K654" t="str">
        <x:v>Cambio de componente</x:v>
      </x:c>
    </x:row>
    <x:row r="655">
      <x:c r="A655" t="n">
        <x:v>654</x:v>
      </x:c>
      <x:c r="B655" t="str">
        <x:v>2026-09-16</x:v>
      </x:c>
      <x:c r="C655" t="str">
        <x:v>L3</x:v>
      </x:c>
      <x:c r="D655" t="str">
        <x:v>Empaque</x:v>
      </x:c>
      <x:c r="E655" t="str">
        <x:v>Matutino</x:v>
      </x:c>
      <x:c r="F655" t="str">
        <x:v>CAL</x:v>
      </x:c>
      <x:c r="G655" t="str">
        <x:v>Ajuste de calidad</x:v>
      </x:c>
      <x:c r="H655" t="str">
        <x:v>Calidad</x:v>
      </x:c>
      <x:c r="I655" t="n">
        <x:v>55</x:v>
      </x:c>
      <x:c r="J655" t="str">
        <x:v>Cerrada</x:v>
      </x:c>
      <x:c r="K655" t="str">
        <x:v>Reinicio controlado</x:v>
      </x:c>
    </x:row>
    <x:row r="656">
      <x:c r="A656" t="n">
        <x:v>655</x:v>
      </x:c>
      <x:c r="B656" t="str">
        <x:v>2026-09-16</x:v>
      </x:c>
      <x:c r="C656" t="str">
        <x:v>L3</x:v>
      </x:c>
      <x:c r="D656" t="str">
        <x:v>Empaque</x:v>
      </x:c>
      <x:c r="E656" t="str">
        <x:v>Vespertino</x:v>
      </x:c>
      <x:c r="F656" t="str">
        <x:v>MEC</x:v>
      </x:c>
      <x:c r="G656" t="str">
        <x:v>Falla mecánica</x:v>
      </x:c>
      <x:c r="H656" t="str">
        <x:v>Mantenimiento</x:v>
      </x:c>
      <x:c r="I656" t="n">
        <x:v>59</x:v>
      </x:c>
      <x:c r="J656" t="str">
        <x:v>Abierta</x:v>
      </x:c>
      <x:c r="K656" t="str">
        <x:v>Abastecimiento</x:v>
      </x:c>
    </x:row>
    <x:row r="657">
      <x:c r="A657" t="n">
        <x:v>656</x:v>
      </x:c>
      <x:c r="B657" t="str">
        <x:v>2026-09-16</x:v>
      </x:c>
      <x:c r="C657" t="str">
        <x:v>L4</x:v>
      </x:c>
      <x:c r="D657" t="str">
        <x:v>Etiquetado</x:v>
      </x:c>
      <x:c r="E657" t="str">
        <x:v>Matutino</x:v>
      </x:c>
      <x:c r="F657" t="str">
        <x:v>ELE</x:v>
      </x:c>
      <x:c r="G657" t="str">
        <x:v>Falla eléctrica</x:v>
      </x:c>
      <x:c r="H657" t="str">
        <x:v>Mantenimiento</x:v>
      </x:c>
      <x:c r="I657" t="n">
        <x:v>13</x:v>
      </x:c>
      <x:c r="J657" t="str">
        <x:v>Cerrada</x:v>
      </x:c>
      <x:c r="K657" t="str">
        <x:v>Reinicio controlado</x:v>
      </x:c>
    </x:row>
    <x:row r="658">
      <x:c r="A658" t="n">
        <x:v>657</x:v>
      </x:c>
      <x:c r="B658" t="str">
        <x:v>2026-09-16</x:v>
      </x:c>
      <x:c r="C658" t="str">
        <x:v>L4</x:v>
      </x:c>
      <x:c r="D658" t="str">
        <x:v>Etiquetado</x:v>
      </x:c>
      <x:c r="E658" t="str">
        <x:v>Vespertino</x:v>
      </x:c>
      <x:c r="F658" t="str">
        <x:v>CAL</x:v>
      </x:c>
      <x:c r="G658" t="str">
        <x:v>Ajuste de calidad</x:v>
      </x:c>
      <x:c r="H658" t="str">
        <x:v>Calidad</x:v>
      </x:c>
      <x:c r="I658" t="n">
        <x:v>12</x:v>
      </x:c>
      <x:c r="J658" t="str">
        <x:v>Cerrada</x:v>
      </x:c>
      <x:c r="K658" t="str">
        <x:v>Abastecimiento</x:v>
      </x:c>
    </x:row>
    <x:row r="659">
      <x:c r="A659" t="n">
        <x:v>658</x:v>
      </x:c>
      <x:c r="B659" t="str">
        <x:v>2026-09-17</x:v>
      </x:c>
      <x:c r="C659" t="str">
        <x:v>L1</x:v>
      </x:c>
      <x:c r="D659" t="str">
        <x:v>Envasado A</x:v>
      </x:c>
      <x:c r="E659" t="str">
        <x:v>Matutino</x:v>
      </x:c>
      <x:c r="F659" t="str">
        <x:v>CAL</x:v>
      </x:c>
      <x:c r="G659" t="str">
        <x:v>Ajuste de calidad</x:v>
      </x:c>
      <x:c r="H659" t="str">
        <x:v>Calidad</x:v>
      </x:c>
      <x:c r="I659" t="n">
        <x:v>38</x:v>
      </x:c>
      <x:c r="J659" t="str">
        <x:v>Cerrada</x:v>
      </x:c>
      <x:c r="K659" t="str">
        <x:v>Ajuste y prueba</x:v>
      </x:c>
    </x:row>
    <x:row r="660">
      <x:c r="A660" t="n">
        <x:v>659</x:v>
      </x:c>
      <x:c r="B660" t="str">
        <x:v>2026-09-17</x:v>
      </x:c>
      <x:c r="C660" t="str">
        <x:v>L1</x:v>
      </x:c>
      <x:c r="D660" t="str">
        <x:v>Envasado A</x:v>
      </x:c>
      <x:c r="E660" t="str">
        <x:v>Vespertino</x:v>
      </x:c>
      <x:c r="F660" t="str">
        <x:v>MEC</x:v>
      </x:c>
      <x:c r="G660" t="str">
        <x:v>Falla mecánica</x:v>
      </x:c>
      <x:c r="H660" t="str">
        <x:v>Mantenimiento</x:v>
      </x:c>
      <x:c r="I660" t="n">
        <x:v>25</x:v>
      </x:c>
      <x:c r="J660" t="str">
        <x:v>Cerrada</x:v>
      </x:c>
      <x:c r="K660" t="str">
        <x:v>Reinicio controlado</x:v>
      </x:c>
    </x:row>
    <x:row r="661">
      <x:c r="A661" t="n">
        <x:v>660</x:v>
      </x:c>
      <x:c r="B661" t="str">
        <x:v>2026-09-17</x:v>
      </x:c>
      <x:c r="C661" t="str">
        <x:v>L2</x:v>
      </x:c>
      <x:c r="D661" t="str">
        <x:v>Envasado B</x:v>
      </x:c>
      <x:c r="E661" t="str">
        <x:v>Matutino</x:v>
      </x:c>
      <x:c r="F661" t="str">
        <x:v>MAT</x:v>
      </x:c>
      <x:c r="G661" t="str">
        <x:v>Falta de material</x:v>
      </x:c>
      <x:c r="H661" t="str">
        <x:v>Logística</x:v>
      </x:c>
      <x:c r="I661" t="n">
        <x:v>12</x:v>
      </x:c>
      <x:c r="J661" t="str">
        <x:v>Cerrada</x:v>
      </x:c>
      <x:c r="K661" t="str">
        <x:v>Ajuste y prueba</x:v>
      </x:c>
    </x:row>
    <x:row r="662">
      <x:c r="A662" t="n">
        <x:v>661</x:v>
      </x:c>
      <x:c r="B662" t="str">
        <x:v>2026-09-17</x:v>
      </x:c>
      <x:c r="C662" t="str">
        <x:v>L2</x:v>
      </x:c>
      <x:c r="D662" t="str">
        <x:v>Envasado B</x:v>
      </x:c>
      <x:c r="E662" t="str">
        <x:v>Vespertino</x:v>
      </x:c>
      <x:c r="F662" t="str">
        <x:v>CAL</x:v>
      </x:c>
      <x:c r="G662" t="str">
        <x:v>Ajuste de calidad</x:v>
      </x:c>
      <x:c r="H662" t="str">
        <x:v>Calidad</x:v>
      </x:c>
      <x:c r="I662" t="n">
        <x:v>34</x:v>
      </x:c>
      <x:c r="J662" t="str">
        <x:v>Abierta</x:v>
      </x:c>
      <x:c r="K662" t="str">
        <x:v>Reinicio controlado</x:v>
      </x:c>
    </x:row>
    <x:row r="663">
      <x:c r="A663" t="n">
        <x:v>662</x:v>
      </x:c>
      <x:c r="B663" t="str">
        <x:v>2026-09-17</x:v>
      </x:c>
      <x:c r="C663" t="str">
        <x:v>L2</x:v>
      </x:c>
      <x:c r="D663" t="str">
        <x:v>Envasado B</x:v>
      </x:c>
      <x:c r="E663" t="str">
        <x:v>Vespertino</x:v>
      </x:c>
      <x:c r="F663" t="str">
        <x:v>ELE</x:v>
      </x:c>
      <x:c r="G663" t="str">
        <x:v>Falla eléctrica</x:v>
      </x:c>
      <x:c r="H663" t="str">
        <x:v>Mantenimiento</x:v>
      </x:c>
      <x:c r="I663" t="n">
        <x:v>10</x:v>
      </x:c>
      <x:c r="J663" t="str">
        <x:v>Abierta</x:v>
      </x:c>
      <x:c r="K663" t="str">
        <x:v>Reinicio controlado</x:v>
      </x:c>
    </x:row>
    <x:row r="664">
      <x:c r="A664" t="n">
        <x:v>663</x:v>
      </x:c>
      <x:c r="B664" t="str">
        <x:v>2026-09-17</x:v>
      </x:c>
      <x:c r="C664" t="str">
        <x:v>L2</x:v>
      </x:c>
      <x:c r="D664" t="str">
        <x:v>Envasado B</x:v>
      </x:c>
      <x:c r="E664" t="str">
        <x:v>Vespertino</x:v>
      </x:c>
      <x:c r="F664" t="str">
        <x:v>MAT</x:v>
      </x:c>
      <x:c r="G664" t="str">
        <x:v>Falta de material</x:v>
      </x:c>
      <x:c r="H664" t="str">
        <x:v>Logística</x:v>
      </x:c>
      <x:c r="I664" t="n">
        <x:v>5</x:v>
      </x:c>
      <x:c r="J664" t="str">
        <x:v>Cerrada</x:v>
      </x:c>
      <x:c r="K664" t="str">
        <x:v>Inspección y liberación</x:v>
      </x:c>
    </x:row>
    <x:row r="665">
      <x:c r="A665" t="n">
        <x:v>664</x:v>
      </x:c>
      <x:c r="B665" t="str">
        <x:v>2026-09-17</x:v>
      </x:c>
      <x:c r="C665" t="str">
        <x:v>L3</x:v>
      </x:c>
      <x:c r="D665" t="str">
        <x:v>Empaque</x:v>
      </x:c>
      <x:c r="E665" t="str">
        <x:v>Matutino</x:v>
      </x:c>
      <x:c r="F665" t="str">
        <x:v>ELE</x:v>
      </x:c>
      <x:c r="G665" t="str">
        <x:v>Falla eléctrica</x:v>
      </x:c>
      <x:c r="H665" t="str">
        <x:v>Mantenimiento</x:v>
      </x:c>
      <x:c r="I665" t="n">
        <x:v>7</x:v>
      </x:c>
      <x:c r="J665" t="str">
        <x:v>Cerrada</x:v>
      </x:c>
      <x:c r="K665" t="str">
        <x:v>Inspección y liberación</x:v>
      </x:c>
    </x:row>
    <x:row r="666">
      <x:c r="A666" t="n">
        <x:v>665</x:v>
      </x:c>
      <x:c r="B666" t="str">
        <x:v>2026-09-17</x:v>
      </x:c>
      <x:c r="C666" t="str">
        <x:v>L3</x:v>
      </x:c>
      <x:c r="D666" t="str">
        <x:v>Empaque</x:v>
      </x:c>
      <x:c r="E666" t="str">
        <x:v>Vespertino</x:v>
      </x:c>
      <x:c r="F666" t="str">
        <x:v>MEC</x:v>
      </x:c>
      <x:c r="G666" t="str">
        <x:v>Falla mecánica</x:v>
      </x:c>
      <x:c r="H666" t="str">
        <x:v>Mantenimiento</x:v>
      </x:c>
      <x:c r="I666" t="n">
        <x:v>39</x:v>
      </x:c>
      <x:c r="J666" t="str">
        <x:v>Abierta</x:v>
      </x:c>
      <x:c r="K666" t="str">
        <x:v>Inspección y liberación</x:v>
      </x:c>
    </x:row>
    <x:row r="667">
      <x:c r="A667" t="n">
        <x:v>666</x:v>
      </x:c>
      <x:c r="B667" t="str">
        <x:v>2026-09-17</x:v>
      </x:c>
      <x:c r="C667" t="str">
        <x:v>L4</x:v>
      </x:c>
      <x:c r="D667" t="str">
        <x:v>Etiquetado</x:v>
      </x:c>
      <x:c r="E667" t="str">
        <x:v>Matutino</x:v>
      </x:c>
      <x:c r="F667" t="str">
        <x:v>CAL</x:v>
      </x:c>
      <x:c r="G667" t="str">
        <x:v>Ajuste de calidad</x:v>
      </x:c>
      <x:c r="H667" t="str">
        <x:v>Calidad</x:v>
      </x:c>
      <x:c r="I667" t="n">
        <x:v>27</x:v>
      </x:c>
      <x:c r="J667" t="str">
        <x:v>Abierta</x:v>
      </x:c>
      <x:c r="K667" t="str">
        <x:v>Abastecimiento</x:v>
      </x:c>
    </x:row>
    <x:row r="668">
      <x:c r="A668" t="n">
        <x:v>667</x:v>
      </x:c>
      <x:c r="B668" t="str">
        <x:v>2026-09-17</x:v>
      </x:c>
      <x:c r="C668" t="str">
        <x:v>L4</x:v>
      </x:c>
      <x:c r="D668" t="str">
        <x:v>Etiquetado</x:v>
      </x:c>
      <x:c r="E668" t="str">
        <x:v>Vespertino</x:v>
      </x:c>
      <x:c r="F668" t="str">
        <x:v>CAL</x:v>
      </x:c>
      <x:c r="G668" t="str">
        <x:v>Ajuste de calidad</x:v>
      </x:c>
      <x:c r="H668" t="str">
        <x:v>Calidad</x:v>
      </x:c>
      <x:c r="I668" t="n">
        <x:v>12</x:v>
      </x:c>
      <x:c r="J668" t="str">
        <x:v>Cerrada</x:v>
      </x:c>
      <x:c r="K668" t="str">
        <x:v>Abastecimiento</x:v>
      </x:c>
    </x:row>
    <x:row r="669">
      <x:c r="A669" t="n">
        <x:v>668</x:v>
      </x:c>
      <x:c r="B669" t="str">
        <x:v>2026-09-18</x:v>
      </x:c>
      <x:c r="C669" t="str">
        <x:v>L1</x:v>
      </x:c>
      <x:c r="D669" t="str">
        <x:v>Envasado A</x:v>
      </x:c>
      <x:c r="E669" t="str">
        <x:v>Matutino</x:v>
      </x:c>
      <x:c r="F669" t="str">
        <x:v>CAL</x:v>
      </x:c>
      <x:c r="G669" t="str">
        <x:v>Ajuste de calidad</x:v>
      </x:c>
      <x:c r="H669" t="str">
        <x:v>Calidad</x:v>
      </x:c>
      <x:c r="I669" t="n">
        <x:v>25</x:v>
      </x:c>
      <x:c r="J669" t="str">
        <x:v>Cerrada</x:v>
      </x:c>
      <x:c r="K669" t="str">
        <x:v>Reinicio controlado</x:v>
      </x:c>
    </x:row>
    <x:row r="670">
      <x:c r="A670" t="n">
        <x:v>669</x:v>
      </x:c>
      <x:c r="B670" t="str">
        <x:v>2026-09-18</x:v>
      </x:c>
      <x:c r="C670" t="str">
        <x:v>L1</x:v>
      </x:c>
      <x:c r="D670" t="str">
        <x:v>Envasado A</x:v>
      </x:c>
      <x:c r="E670" t="str">
        <x:v>Vespertino</x:v>
      </x:c>
      <x:c r="F670" t="str">
        <x:v>CAL</x:v>
      </x:c>
      <x:c r="G670" t="str">
        <x:v>Ajuste de calidad</x:v>
      </x:c>
      <x:c r="H670" t="str">
        <x:v>Calidad</x:v>
      </x:c>
      <x:c r="I670" t="n">
        <x:v>44</x:v>
      </x:c>
      <x:c r="J670" t="str">
        <x:v>Cerrada</x:v>
      </x:c>
      <x:c r="K670" t="str">
        <x:v>Cambio de componente</x:v>
      </x:c>
    </x:row>
    <x:row r="671">
      <x:c r="A671" t="n">
        <x:v>670</x:v>
      </x:c>
      <x:c r="B671" t="str">
        <x:v>2026-09-18</x:v>
      </x:c>
      <x:c r="C671" t="str">
        <x:v>L2</x:v>
      </x:c>
      <x:c r="D671" t="str">
        <x:v>Envasado B</x:v>
      </x:c>
      <x:c r="E671" t="str">
        <x:v>Matutino</x:v>
      </x:c>
      <x:c r="F671" t="str">
        <x:v>CAL</x:v>
      </x:c>
      <x:c r="G671" t="str">
        <x:v>Ajuste de calidad</x:v>
      </x:c>
      <x:c r="H671" t="str">
        <x:v>Calidad</x:v>
      </x:c>
      <x:c r="I671" t="n">
        <x:v>24</x:v>
      </x:c>
      <x:c r="J671" t="str">
        <x:v>Cerrada</x:v>
      </x:c>
      <x:c r="K671" t="str">
        <x:v>Inspección y liberación</x:v>
      </x:c>
    </x:row>
    <x:row r="672">
      <x:c r="A672" t="n">
        <x:v>671</x:v>
      </x:c>
      <x:c r="B672" t="str">
        <x:v>2026-09-18</x:v>
      </x:c>
      <x:c r="C672" t="str">
        <x:v>L2</x:v>
      </x:c>
      <x:c r="D672" t="str">
        <x:v>Envasado B</x:v>
      </x:c>
      <x:c r="E672" t="str">
        <x:v>Vespertino</x:v>
      </x:c>
      <x:c r="F672" t="str">
        <x:v>CAM</x:v>
      </x:c>
      <x:c r="G672" t="str">
        <x:v>Cambio de formato</x:v>
      </x:c>
      <x:c r="H672" t="str">
        <x:v>Producción</x:v>
      </x:c>
      <x:c r="I672" t="n">
        <x:v>26</x:v>
      </x:c>
      <x:c r="J672" t="str">
        <x:v>Cerrada</x:v>
      </x:c>
      <x:c r="K672" t="str">
        <x:v>Cambio de componente</x:v>
      </x:c>
    </x:row>
    <x:row r="673">
      <x:c r="A673" t="n">
        <x:v>672</x:v>
      </x:c>
      <x:c r="B673" t="str">
        <x:v>2026-09-18</x:v>
      </x:c>
      <x:c r="C673" t="str">
        <x:v>L3</x:v>
      </x:c>
      <x:c r="D673" t="str">
        <x:v>Empaque</x:v>
      </x:c>
      <x:c r="E673" t="str">
        <x:v>Matutino</x:v>
      </x:c>
      <x:c r="F673" t="str">
        <x:v>CAL</x:v>
      </x:c>
      <x:c r="G673" t="str">
        <x:v>Ajuste de calidad</x:v>
      </x:c>
      <x:c r="H673" t="str">
        <x:v>Calidad</x:v>
      </x:c>
      <x:c r="I673" t="n">
        <x:v>25</x:v>
      </x:c>
      <x:c r="J673" t="str">
        <x:v>Cerrada</x:v>
      </x:c>
      <x:c r="K673" t="str">
        <x:v>Reinicio controlado</x:v>
      </x:c>
    </x:row>
    <x:row r="674">
      <x:c r="A674" t="n">
        <x:v>673</x:v>
      </x:c>
      <x:c r="B674" t="str">
        <x:v>2026-09-18</x:v>
      </x:c>
      <x:c r="C674" t="str">
        <x:v>L4</x:v>
      </x:c>
      <x:c r="D674" t="str">
        <x:v>Etiquetado</x:v>
      </x:c>
      <x:c r="E674" t="str">
        <x:v>Vespertino</x:v>
      </x:c>
      <x:c r="F674" t="str">
        <x:v>ELE</x:v>
      </x:c>
      <x:c r="G674" t="str">
        <x:v>Falla eléctrica</x:v>
      </x:c>
      <x:c r="H674" t="str">
        <x:v>Mantenimiento</x:v>
      </x:c>
      <x:c r="I674" t="n">
        <x:v>23</x:v>
      </x:c>
      <x:c r="J674" t="str">
        <x:v>Abierta</x:v>
      </x:c>
      <x:c r="K674" t="str">
        <x:v>Ajuste y prueba</x:v>
      </x:c>
    </x:row>
    <x:row r="675">
      <x:c r="A675" t="n">
        <x:v>674</x:v>
      </x:c>
      <x:c r="B675" t="str">
        <x:v>2026-09-19</x:v>
      </x:c>
      <x:c r="C675" t="str">
        <x:v>L1</x:v>
      </x:c>
      <x:c r="D675" t="str">
        <x:v>Envasado A</x:v>
      </x:c>
      <x:c r="E675" t="str">
        <x:v>Matutino</x:v>
      </x:c>
      <x:c r="F675" t="str">
        <x:v>MEC</x:v>
      </x:c>
      <x:c r="G675" t="str">
        <x:v>Falla mecánica</x:v>
      </x:c>
      <x:c r="H675" t="str">
        <x:v>Mantenimiento</x:v>
      </x:c>
      <x:c r="I675" t="n">
        <x:v>12</x:v>
      </x:c>
      <x:c r="J675" t="str">
        <x:v>Cerrada</x:v>
      </x:c>
      <x:c r="K675" t="str">
        <x:v>Ajuste y prueba</x:v>
      </x:c>
    </x:row>
    <x:row r="676">
      <x:c r="A676" t="n">
        <x:v>675</x:v>
      </x:c>
      <x:c r="B676" t="str">
        <x:v>2026-09-19</x:v>
      </x:c>
      <x:c r="C676" t="str">
        <x:v>L1</x:v>
      </x:c>
      <x:c r="D676" t="str">
        <x:v>Envasado A</x:v>
      </x:c>
      <x:c r="E676" t="str">
        <x:v>Vespertino</x:v>
      </x:c>
      <x:c r="F676" t="str">
        <x:v>ELE</x:v>
      </x:c>
      <x:c r="G676" t="str">
        <x:v>Falla eléctrica</x:v>
      </x:c>
      <x:c r="H676" t="str">
        <x:v>Mantenimiento</x:v>
      </x:c>
      <x:c r="I676" t="n">
        <x:v>17</x:v>
      </x:c>
      <x:c r="J676" t="str">
        <x:v>Cerrada</x:v>
      </x:c>
      <x:c r="K676" t="str">
        <x:v>Abastecimiento</x:v>
      </x:c>
    </x:row>
    <x:row r="677">
      <x:c r="A677" t="n">
        <x:v>676</x:v>
      </x:c>
      <x:c r="B677" t="str">
        <x:v>2026-09-19</x:v>
      </x:c>
      <x:c r="C677" t="str">
        <x:v>L2</x:v>
      </x:c>
      <x:c r="D677" t="str">
        <x:v>Envasado B</x:v>
      </x:c>
      <x:c r="E677" t="str">
        <x:v>Matutino</x:v>
      </x:c>
      <x:c r="F677" t="str">
        <x:v>MAT</x:v>
      </x:c>
      <x:c r="G677" t="str">
        <x:v>Falta de material</x:v>
      </x:c>
      <x:c r="H677" t="str">
        <x:v>Logística</x:v>
      </x:c>
      <x:c r="I677" t="n">
        <x:v>49</x:v>
      </x:c>
      <x:c r="J677" t="str">
        <x:v>Cerrada</x:v>
      </x:c>
      <x:c r="K677" t="str">
        <x:v>Inspección y liberación</x:v>
      </x:c>
    </x:row>
    <x:row r="678">
      <x:c r="A678" t="n">
        <x:v>677</x:v>
      </x:c>
      <x:c r="B678" t="str">
        <x:v>2026-09-19</x:v>
      </x:c>
      <x:c r="C678" t="str">
        <x:v>L2</x:v>
      </x:c>
      <x:c r="D678" t="str">
        <x:v>Envasado B</x:v>
      </x:c>
      <x:c r="E678" t="str">
        <x:v>Vespertino</x:v>
      </x:c>
      <x:c r="F678" t="str">
        <x:v>ELE</x:v>
      </x:c>
      <x:c r="G678" t="str">
        <x:v>Falla eléctrica</x:v>
      </x:c>
      <x:c r="H678" t="str">
        <x:v>Mantenimiento</x:v>
      </x:c>
      <x:c r="I678" t="n">
        <x:v>8</x:v>
      </x:c>
      <x:c r="J678" t="str">
        <x:v>Cerrada</x:v>
      </x:c>
      <x:c r="K678" t="str">
        <x:v>Reinicio controlado</x:v>
      </x:c>
    </x:row>
    <x:row r="679">
      <x:c r="A679" t="n">
        <x:v>678</x:v>
      </x:c>
      <x:c r="B679" t="str">
        <x:v>2026-09-19</x:v>
      </x:c>
      <x:c r="C679" t="str">
        <x:v>L2</x:v>
      </x:c>
      <x:c r="D679" t="str">
        <x:v>Envasado B</x:v>
      </x:c>
      <x:c r="E679" t="str">
        <x:v>Vespertino</x:v>
      </x:c>
      <x:c r="F679" t="str">
        <x:v>MEC</x:v>
      </x:c>
      <x:c r="G679" t="str">
        <x:v>Falla mecánica</x:v>
      </x:c>
      <x:c r="H679" t="str">
        <x:v>Mantenimiento</x:v>
      </x:c>
      <x:c r="I679" t="n">
        <x:v>53</x:v>
      </x:c>
      <x:c r="J679" t="str">
        <x:v>Cerrada</x:v>
      </x:c>
      <x:c r="K679" t="str">
        <x:v>Reinicio controlado</x:v>
      </x:c>
    </x:row>
    <x:row r="680">
      <x:c r="A680" t="n">
        <x:v>679</x:v>
      </x:c>
      <x:c r="B680" t="str">
        <x:v>2026-09-19</x:v>
      </x:c>
      <x:c r="C680" t="str">
        <x:v>L3</x:v>
      </x:c>
      <x:c r="D680" t="str">
        <x:v>Empaque</x:v>
      </x:c>
      <x:c r="E680" t="str">
        <x:v>Matutino</x:v>
      </x:c>
      <x:c r="F680" t="str">
        <x:v>CAL</x:v>
      </x:c>
      <x:c r="G680" t="str">
        <x:v>Ajuste de calidad</x:v>
      </x:c>
      <x:c r="H680" t="str">
        <x:v>Calidad</x:v>
      </x:c>
      <x:c r="I680" t="n">
        <x:v>14</x:v>
      </x:c>
      <x:c r="J680" t="str">
        <x:v>Cerrada</x:v>
      </x:c>
      <x:c r="K680" t="str">
        <x:v>Ajuste y prueba</x:v>
      </x:c>
    </x:row>
    <x:row r="681">
      <x:c r="A681" t="n">
        <x:v>680</x:v>
      </x:c>
      <x:c r="B681" t="str">
        <x:v>2026-09-19</x:v>
      </x:c>
      <x:c r="C681" t="str">
        <x:v>L3</x:v>
      </x:c>
      <x:c r="D681" t="str">
        <x:v>Empaque</x:v>
      </x:c>
      <x:c r="E681" t="str">
        <x:v>Vespertino</x:v>
      </x:c>
      <x:c r="F681" t="str">
        <x:v>MAT</x:v>
      </x:c>
      <x:c r="G681" t="str">
        <x:v>Falta de material</x:v>
      </x:c>
      <x:c r="H681" t="str">
        <x:v>Logística</x:v>
      </x:c>
      <x:c r="I681" t="n">
        <x:v>52</x:v>
      </x:c>
      <x:c r="J681" t="str">
        <x:v>Cerrada</x:v>
      </x:c>
      <x:c r="K681" t="str">
        <x:v>Abastecimiento</x:v>
      </x:c>
    </x:row>
    <x:row r="682">
      <x:c r="A682" t="n">
        <x:v>681</x:v>
      </x:c>
      <x:c r="B682" t="str">
        <x:v>2026-09-19</x:v>
      </x:c>
      <x:c r="C682" t="str">
        <x:v>L4</x:v>
      </x:c>
      <x:c r="D682" t="str">
        <x:v>Etiquetado</x:v>
      </x:c>
      <x:c r="E682" t="str">
        <x:v>Matutino</x:v>
      </x:c>
      <x:c r="F682" t="str">
        <x:v>CAL</x:v>
      </x:c>
      <x:c r="G682" t="str">
        <x:v>Ajuste de calidad</x:v>
      </x:c>
      <x:c r="H682" t="str">
        <x:v>Calidad</x:v>
      </x:c>
      <x:c r="I682" t="n">
        <x:v>24</x:v>
      </x:c>
      <x:c r="J682" t="str">
        <x:v>Abierta</x:v>
      </x:c>
      <x:c r="K682" t="str">
        <x:v>Cambio de componente</x:v>
      </x:c>
    </x:row>
    <x:row r="683">
      <x:c r="A683" t="n">
        <x:v>682</x:v>
      </x:c>
      <x:c r="B683" t="str">
        <x:v>2026-09-20</x:v>
      </x:c>
      <x:c r="C683" t="str">
        <x:v>L1</x:v>
      </x:c>
      <x:c r="D683" t="str">
        <x:v>Envasado A</x:v>
      </x:c>
      <x:c r="E683" t="str">
        <x:v>Matutino</x:v>
      </x:c>
      <x:c r="F683" t="str">
        <x:v>ELE</x:v>
      </x:c>
      <x:c r="G683" t="str">
        <x:v>Falla eléctrica</x:v>
      </x:c>
      <x:c r="H683" t="str">
        <x:v>Mantenimiento</x:v>
      </x:c>
      <x:c r="I683" t="n">
        <x:v>22</x:v>
      </x:c>
      <x:c r="J683" t="str">
        <x:v>Cerrada</x:v>
      </x:c>
      <x:c r="K683" t="str">
        <x:v>Reinicio controlado</x:v>
      </x:c>
    </x:row>
    <x:row r="684">
      <x:c r="A684" t="n">
        <x:v>683</x:v>
      </x:c>
      <x:c r="B684" t="str">
        <x:v>2026-09-20</x:v>
      </x:c>
      <x:c r="C684" t="str">
        <x:v>L2</x:v>
      </x:c>
      <x:c r="D684" t="str">
        <x:v>Envasado B</x:v>
      </x:c>
      <x:c r="E684" t="str">
        <x:v>Matutino</x:v>
      </x:c>
      <x:c r="F684" t="str">
        <x:v>CAM</x:v>
      </x:c>
      <x:c r="G684" t="str">
        <x:v>Cambio de formato</x:v>
      </x:c>
      <x:c r="H684" t="str">
        <x:v>Producción</x:v>
      </x:c>
      <x:c r="I684" t="n">
        <x:v>7</x:v>
      </x:c>
      <x:c r="J684" t="str">
        <x:v>Cerrada</x:v>
      </x:c>
      <x:c r="K684" t="str">
        <x:v>Ajuste y prueba</x:v>
      </x:c>
    </x:row>
    <x:row r="685">
      <x:c r="A685" t="n">
        <x:v>684</x:v>
      </x:c>
      <x:c r="B685" t="str">
        <x:v>2026-09-20</x:v>
      </x:c>
      <x:c r="C685" t="str">
        <x:v>L2</x:v>
      </x:c>
      <x:c r="D685" t="str">
        <x:v>Envasado B</x:v>
      </x:c>
      <x:c r="E685" t="str">
        <x:v>Vespertino</x:v>
      </x:c>
      <x:c r="F685" t="str">
        <x:v>ELE</x:v>
      </x:c>
      <x:c r="G685" t="str">
        <x:v>Falla eléctrica</x:v>
      </x:c>
      <x:c r="H685" t="str">
        <x:v>Mantenimiento</x:v>
      </x:c>
      <x:c r="I685" t="n">
        <x:v>23</x:v>
      </x:c>
      <x:c r="J685" t="str">
        <x:v>Cerrada</x:v>
      </x:c>
      <x:c r="K685" t="str">
        <x:v>Cambio de componente</x:v>
      </x:c>
    </x:row>
    <x:row r="686">
      <x:c r="A686" t="n">
        <x:v>685</x:v>
      </x:c>
      <x:c r="B686" t="str">
        <x:v>2026-09-21</x:v>
      </x:c>
      <x:c r="C686" t="str">
        <x:v>L1</x:v>
      </x:c>
      <x:c r="D686" t="str">
        <x:v>Envasado A</x:v>
      </x:c>
      <x:c r="E686" t="str">
        <x:v>Matutino</x:v>
      </x:c>
      <x:c r="F686" t="str">
        <x:v>CAM</x:v>
      </x:c>
      <x:c r="G686" t="str">
        <x:v>Cambio de formato</x:v>
      </x:c>
      <x:c r="H686" t="str">
        <x:v>Producción</x:v>
      </x:c>
      <x:c r="I686" t="n">
        <x:v>28</x:v>
      </x:c>
      <x:c r="J686" t="str">
        <x:v>Cerrada</x:v>
      </x:c>
      <x:c r="K686" t="str">
        <x:v>Abastecimiento</x:v>
      </x:c>
    </x:row>
    <x:row r="687">
      <x:c r="A687" t="n">
        <x:v>686</x:v>
      </x:c>
      <x:c r="B687" t="str">
        <x:v>2026-09-21</x:v>
      </x:c>
      <x:c r="C687" t="str">
        <x:v>L1</x:v>
      </x:c>
      <x:c r="D687" t="str">
        <x:v>Envasado A</x:v>
      </x:c>
      <x:c r="E687" t="str">
        <x:v>Vespertino</x:v>
      </x:c>
      <x:c r="F687" t="str">
        <x:v>CAM</x:v>
      </x:c>
      <x:c r="G687" t="str">
        <x:v>Cambio de formato</x:v>
      </x:c>
      <x:c r="H687" t="str">
        <x:v>Producción</x:v>
      </x:c>
      <x:c r="I687" t="n">
        <x:v>11</x:v>
      </x:c>
      <x:c r="J687" t="str">
        <x:v>Abierta</x:v>
      </x:c>
      <x:c r="K687" t="str">
        <x:v>Inspección y liberación</x:v>
      </x:c>
    </x:row>
    <x:row r="688">
      <x:c r="A688" t="n">
        <x:v>687</x:v>
      </x:c>
      <x:c r="B688" t="str">
        <x:v>2026-09-21</x:v>
      </x:c>
      <x:c r="C688" t="str">
        <x:v>L2</x:v>
      </x:c>
      <x:c r="D688" t="str">
        <x:v>Envasado B</x:v>
      </x:c>
      <x:c r="E688" t="str">
        <x:v>Matutino</x:v>
      </x:c>
      <x:c r="F688" t="str">
        <x:v>MAT</x:v>
      </x:c>
      <x:c r="G688" t="str">
        <x:v>Falta de material</x:v>
      </x:c>
      <x:c r="H688" t="str">
        <x:v>Logística</x:v>
      </x:c>
      <x:c r="I688" t="n">
        <x:v>8</x:v>
      </x:c>
      <x:c r="J688" t="str">
        <x:v>Cerrada</x:v>
      </x:c>
      <x:c r="K688" t="str">
        <x:v>Inspección y liberación</x:v>
      </x:c>
    </x:row>
    <x:row r="689">
      <x:c r="A689" t="n">
        <x:v>688</x:v>
      </x:c>
      <x:c r="B689" t="str">
        <x:v>2026-09-21</x:v>
      </x:c>
      <x:c r="C689" t="str">
        <x:v>L2</x:v>
      </x:c>
      <x:c r="D689" t="str">
        <x:v>Envasado B</x:v>
      </x:c>
      <x:c r="E689" t="str">
        <x:v>Vespertino</x:v>
      </x:c>
      <x:c r="F689" t="str">
        <x:v>CAL</x:v>
      </x:c>
      <x:c r="G689" t="str">
        <x:v>Ajuste de calidad</x:v>
      </x:c>
      <x:c r="H689" t="str">
        <x:v>Calidad</x:v>
      </x:c>
      <x:c r="I689" t="n">
        <x:v>28</x:v>
      </x:c>
      <x:c r="J689" t="str">
        <x:v>Abierta</x:v>
      </x:c>
      <x:c r="K689" t="str">
        <x:v>Cambio de componente</x:v>
      </x:c>
    </x:row>
    <x:row r="690">
      <x:c r="A690" t="n">
        <x:v>689</x:v>
      </x:c>
      <x:c r="B690" t="str">
        <x:v>2026-09-21</x:v>
      </x:c>
      <x:c r="C690" t="str">
        <x:v>L3</x:v>
      </x:c>
      <x:c r="D690" t="str">
        <x:v>Empaque</x:v>
      </x:c>
      <x:c r="E690" t="str">
        <x:v>Matutino</x:v>
      </x:c>
      <x:c r="F690" t="str">
        <x:v>CAL</x:v>
      </x:c>
      <x:c r="G690" t="str">
        <x:v>Ajuste de calidad</x:v>
      </x:c>
      <x:c r="H690" t="str">
        <x:v>Calidad</x:v>
      </x:c>
      <x:c r="I690" t="n">
        <x:v>31</x:v>
      </x:c>
      <x:c r="J690" t="str">
        <x:v>Cerrada</x:v>
      </x:c>
      <x:c r="K690" t="str">
        <x:v>Reinicio controlado</x:v>
      </x:c>
    </x:row>
    <x:row r="691">
      <x:c r="A691" t="n">
        <x:v>690</x:v>
      </x:c>
      <x:c r="B691" t="str">
        <x:v>2026-09-21</x:v>
      </x:c>
      <x:c r="C691" t="str">
        <x:v>L3</x:v>
      </x:c>
      <x:c r="D691" t="str">
        <x:v>Empaque</x:v>
      </x:c>
      <x:c r="E691" t="str">
        <x:v>Vespertino</x:v>
      </x:c>
      <x:c r="F691" t="str">
        <x:v>MEC</x:v>
      </x:c>
      <x:c r="G691" t="str">
        <x:v>Falla mecánica</x:v>
      </x:c>
      <x:c r="H691" t="str">
        <x:v>Mantenimiento</x:v>
      </x:c>
      <x:c r="I691" t="n">
        <x:v>39</x:v>
      </x:c>
      <x:c r="J691" t="str">
        <x:v>Cerrada</x:v>
      </x:c>
      <x:c r="K691" t="str">
        <x:v>Reinicio controlado</x:v>
      </x:c>
    </x:row>
    <x:row r="692">
      <x:c r="A692" t="n">
        <x:v>691</x:v>
      </x:c>
      <x:c r="B692" t="str">
        <x:v>2026-09-21</x:v>
      </x:c>
      <x:c r="C692" t="str">
        <x:v>L4</x:v>
      </x:c>
      <x:c r="D692" t="str">
        <x:v>Etiquetado</x:v>
      </x:c>
      <x:c r="E692" t="str">
        <x:v>Matutino</x:v>
      </x:c>
      <x:c r="F692" t="str">
        <x:v>MAT</x:v>
      </x:c>
      <x:c r="G692" t="str">
        <x:v>Falta de material</x:v>
      </x:c>
      <x:c r="H692" t="str">
        <x:v>Logística</x:v>
      </x:c>
      <x:c r="I692" t="n">
        <x:v>67</x:v>
      </x:c>
      <x:c r="J692" t="str">
        <x:v>Cerrada</x:v>
      </x:c>
      <x:c r="K692" t="str">
        <x:v>Inspección y liberación</x:v>
      </x:c>
    </x:row>
    <x:row r="693">
      <x:c r="A693" t="n">
        <x:v>692</x:v>
      </x:c>
      <x:c r="B693" t="str">
        <x:v>2026-09-21</x:v>
      </x:c>
      <x:c r="C693" t="str">
        <x:v>L4</x:v>
      </x:c>
      <x:c r="D693" t="str">
        <x:v>Etiquetado</x:v>
      </x:c>
      <x:c r="E693" t="str">
        <x:v>Vespertino</x:v>
      </x:c>
      <x:c r="F693" t="str">
        <x:v>ELE</x:v>
      </x:c>
      <x:c r="G693" t="str">
        <x:v>Falla eléctrica</x:v>
      </x:c>
      <x:c r="H693" t="str">
        <x:v>Mantenimiento</x:v>
      </x:c>
      <x:c r="I693" t="n">
        <x:v>12</x:v>
      </x:c>
      <x:c r="J693" t="str">
        <x:v>Cerrada</x:v>
      </x:c>
      <x:c r="K693" t="str">
        <x:v>Cambio de componente</x:v>
      </x:c>
    </x:row>
    <x:row r="694">
      <x:c r="A694" t="n">
        <x:v>693</x:v>
      </x:c>
      <x:c r="B694" t="str">
        <x:v>2026-09-22</x:v>
      </x:c>
      <x:c r="C694" t="str">
        <x:v>L1</x:v>
      </x:c>
      <x:c r="D694" t="str">
        <x:v>Envasado A</x:v>
      </x:c>
      <x:c r="E694" t="str">
        <x:v>Matutino</x:v>
      </x:c>
      <x:c r="F694" t="str">
        <x:v>CAL</x:v>
      </x:c>
      <x:c r="G694" t="str">
        <x:v>Ajuste de calidad</x:v>
      </x:c>
      <x:c r="H694" t="str">
        <x:v>Calidad</x:v>
      </x:c>
      <x:c r="I694" t="n">
        <x:v>26</x:v>
      </x:c>
      <x:c r="J694" t="str">
        <x:v>Abierta</x:v>
      </x:c>
      <x:c r="K694" t="str">
        <x:v>Reinicio controlado</x:v>
      </x:c>
    </x:row>
    <x:row r="695">
      <x:c r="A695" t="n">
        <x:v>694</x:v>
      </x:c>
      <x:c r="B695" t="str">
        <x:v>2026-09-22</x:v>
      </x:c>
      <x:c r="C695" t="str">
        <x:v>L1</x:v>
      </x:c>
      <x:c r="D695" t="str">
        <x:v>Envasado A</x:v>
      </x:c>
      <x:c r="E695" t="str">
        <x:v>Vespertino</x:v>
      </x:c>
      <x:c r="F695" t="str">
        <x:v>MEC</x:v>
      </x:c>
      <x:c r="G695" t="str">
        <x:v>Falla mecánica</x:v>
      </x:c>
      <x:c r="H695" t="str">
        <x:v>Mantenimiento</x:v>
      </x:c>
      <x:c r="I695" t="n">
        <x:v>30</x:v>
      </x:c>
      <x:c r="J695" t="str">
        <x:v>Cerrada</x:v>
      </x:c>
      <x:c r="K695" t="str">
        <x:v>Abastecimiento</x:v>
      </x:c>
    </x:row>
    <x:row r="696">
      <x:c r="A696" t="n">
        <x:v>695</x:v>
      </x:c>
      <x:c r="B696" t="str">
        <x:v>2026-09-22</x:v>
      </x:c>
      <x:c r="C696" t="str">
        <x:v>L1</x:v>
      </x:c>
      <x:c r="D696" t="str">
        <x:v>Envasado A</x:v>
      </x:c>
      <x:c r="E696" t="str">
        <x:v>Vespertino</x:v>
      </x:c>
      <x:c r="F696" t="str">
        <x:v>MEC</x:v>
      </x:c>
      <x:c r="G696" t="str">
        <x:v>Falla mecánica</x:v>
      </x:c>
      <x:c r="H696" t="str">
        <x:v>Mantenimiento</x:v>
      </x:c>
      <x:c r="I696" t="n">
        <x:v>16</x:v>
      </x:c>
      <x:c r="J696" t="str">
        <x:v>Cerrada</x:v>
      </x:c>
      <x:c r="K696" t="str">
        <x:v>Cambio de componente</x:v>
      </x:c>
    </x:row>
    <x:row r="697">
      <x:c r="A697" t="n">
        <x:v>696</x:v>
      </x:c>
      <x:c r="B697" t="str">
        <x:v>2026-09-22</x:v>
      </x:c>
      <x:c r="C697" t="str">
        <x:v>L2</x:v>
      </x:c>
      <x:c r="D697" t="str">
        <x:v>Envasado B</x:v>
      </x:c>
      <x:c r="E697" t="str">
        <x:v>Matutino</x:v>
      </x:c>
      <x:c r="F697" t="str">
        <x:v>MAT</x:v>
      </x:c>
      <x:c r="G697" t="str">
        <x:v>Falta de material</x:v>
      </x:c>
      <x:c r="H697" t="str">
        <x:v>Logística</x:v>
      </x:c>
      <x:c r="I697" t="n">
        <x:v>22</x:v>
      </x:c>
      <x:c r="J697" t="str">
        <x:v>Cerrada</x:v>
      </x:c>
      <x:c r="K697" t="str">
        <x:v>Inspección y liberación</x:v>
      </x:c>
    </x:row>
    <x:row r="698">
      <x:c r="A698" t="n">
        <x:v>697</x:v>
      </x:c>
      <x:c r="B698" t="str">
        <x:v>2026-09-22</x:v>
      </x:c>
      <x:c r="C698" t="str">
        <x:v>L2</x:v>
      </x:c>
      <x:c r="D698" t="str">
        <x:v>Envasado B</x:v>
      </x:c>
      <x:c r="E698" t="str">
        <x:v>Matutino</x:v>
      </x:c>
      <x:c r="F698" t="str">
        <x:v>MAT</x:v>
      </x:c>
      <x:c r="G698" t="str">
        <x:v>Falta de material</x:v>
      </x:c>
      <x:c r="H698" t="str">
        <x:v>Logística</x:v>
      </x:c>
      <x:c r="I698" t="n">
        <x:v>28</x:v>
      </x:c>
      <x:c r="J698" t="str">
        <x:v>Cerrada</x:v>
      </x:c>
      <x:c r="K698" t="str">
        <x:v>Ajuste y prueba</x:v>
      </x:c>
    </x:row>
    <x:row r="699">
      <x:c r="A699" t="n">
        <x:v>698</x:v>
      </x:c>
      <x:c r="B699" t="str">
        <x:v>2026-09-22</x:v>
      </x:c>
      <x:c r="C699" t="str">
        <x:v>L2</x:v>
      </x:c>
      <x:c r="D699" t="str">
        <x:v>Envasado B</x:v>
      </x:c>
      <x:c r="E699" t="str">
        <x:v>Vespertino</x:v>
      </x:c>
      <x:c r="F699" t="str">
        <x:v>MEC</x:v>
      </x:c>
      <x:c r="G699" t="str">
        <x:v>Falla mecánica</x:v>
      </x:c>
      <x:c r="H699" t="str">
        <x:v>Mantenimiento</x:v>
      </x:c>
      <x:c r="I699" t="n">
        <x:v>33</x:v>
      </x:c>
      <x:c r="J699" t="str">
        <x:v>Cerrada</x:v>
      </x:c>
      <x:c r="K699" t="str">
        <x:v>Ajuste y prueba</x:v>
      </x:c>
    </x:row>
    <x:row r="700">
      <x:c r="A700" t="n">
        <x:v>699</x:v>
      </x:c>
      <x:c r="B700" t="str">
        <x:v>2026-09-22</x:v>
      </x:c>
      <x:c r="C700" t="str">
        <x:v>L2</x:v>
      </x:c>
      <x:c r="D700" t="str">
        <x:v>Envasado B</x:v>
      </x:c>
      <x:c r="E700" t="str">
        <x:v>Vespertino</x:v>
      </x:c>
      <x:c r="F700" t="str">
        <x:v>CAM</x:v>
      </x:c>
      <x:c r="G700" t="str">
        <x:v>Cambio de formato</x:v>
      </x:c>
      <x:c r="H700" t="str">
        <x:v>Producción</x:v>
      </x:c>
      <x:c r="I700" t="n">
        <x:v>36</x:v>
      </x:c>
      <x:c r="J700" t="str">
        <x:v>Abierta</x:v>
      </x:c>
      <x:c r="K700" t="str">
        <x:v>Abastecimiento</x:v>
      </x:c>
    </x:row>
    <x:row r="701">
      <x:c r="A701" t="n">
        <x:v>700</x:v>
      </x:c>
      <x:c r="B701" t="str">
        <x:v>2026-09-22</x:v>
      </x:c>
      <x:c r="C701" t="str">
        <x:v>L3</x:v>
      </x:c>
      <x:c r="D701" t="str">
        <x:v>Empaque</x:v>
      </x:c>
      <x:c r="E701" t="str">
        <x:v>Matutino</x:v>
      </x:c>
      <x:c r="F701" t="str">
        <x:v>CAL</x:v>
      </x:c>
      <x:c r="G701" t="str">
        <x:v>Ajuste de calidad</x:v>
      </x:c>
      <x:c r="H701" t="str">
        <x:v>Calidad</x:v>
      </x:c>
      <x:c r="I701" t="n">
        <x:v>10</x:v>
      </x:c>
      <x:c r="J701" t="str">
        <x:v>Cerrada</x:v>
      </x:c>
      <x:c r="K701" t="str">
        <x:v>Cambio de componente</x:v>
      </x:c>
    </x:row>
    <x:row r="702">
      <x:c r="A702" t="n">
        <x:v>701</x:v>
      </x:c>
      <x:c r="B702" t="str">
        <x:v>2026-09-22</x:v>
      </x:c>
      <x:c r="C702" t="str">
        <x:v>L3</x:v>
      </x:c>
      <x:c r="D702" t="str">
        <x:v>Empaque</x:v>
      </x:c>
      <x:c r="E702" t="str">
        <x:v>Vespertino</x:v>
      </x:c>
      <x:c r="F702" t="str">
        <x:v>MAT</x:v>
      </x:c>
      <x:c r="G702" t="str">
        <x:v>Falta de material</x:v>
      </x:c>
      <x:c r="H702" t="str">
        <x:v>Logística</x:v>
      </x:c>
      <x:c r="I702" t="n">
        <x:v>10</x:v>
      </x:c>
      <x:c r="J702" t="str">
        <x:v>Cerrada</x:v>
      </x:c>
      <x:c r="K702" t="str">
        <x:v>Inspección y liberación</x:v>
      </x:c>
    </x:row>
    <x:row r="703">
      <x:c r="A703" t="n">
        <x:v>702</x:v>
      </x:c>
      <x:c r="B703" t="str">
        <x:v>2026-09-22</x:v>
      </x:c>
      <x:c r="C703" t="str">
        <x:v>L4</x:v>
      </x:c>
      <x:c r="D703" t="str">
        <x:v>Etiquetado</x:v>
      </x:c>
      <x:c r="E703" t="str">
        <x:v>Matutino</x:v>
      </x:c>
      <x:c r="F703" t="str">
        <x:v>MAT</x:v>
      </x:c>
      <x:c r="G703" t="str">
        <x:v>Falta de material</x:v>
      </x:c>
      <x:c r="H703" t="str">
        <x:v>Logística</x:v>
      </x:c>
      <x:c r="I703" t="n">
        <x:v>29</x:v>
      </x:c>
      <x:c r="J703" t="str">
        <x:v>Cerrada</x:v>
      </x:c>
      <x:c r="K703" t="str">
        <x:v>Cambio de componente</x:v>
      </x:c>
    </x:row>
    <x:row r="704">
      <x:c r="A704" t="n">
        <x:v>703</x:v>
      </x:c>
      <x:c r="B704" t="str">
        <x:v>2026-09-22</x:v>
      </x:c>
      <x:c r="C704" t="str">
        <x:v>L4</x:v>
      </x:c>
      <x:c r="D704" t="str">
        <x:v>Etiquetado</x:v>
      </x:c>
      <x:c r="E704" t="str">
        <x:v>Vespertino</x:v>
      </x:c>
      <x:c r="F704" t="str">
        <x:v>MEC</x:v>
      </x:c>
      <x:c r="G704" t="str">
        <x:v>Falla mecánica</x:v>
      </x:c>
      <x:c r="H704" t="str">
        <x:v>Mantenimiento</x:v>
      </x:c>
      <x:c r="I704" t="n">
        <x:v>28</x:v>
      </x:c>
      <x:c r="J704" t="str">
        <x:v>Cerrada</x:v>
      </x:c>
      <x:c r="K704" t="str">
        <x:v>Cambio de componente</x:v>
      </x:c>
    </x:row>
    <x:row r="705">
      <x:c r="A705" t="n">
        <x:v>704</x:v>
      </x:c>
      <x:c r="B705" t="str">
        <x:v>2026-09-23</x:v>
      </x:c>
      <x:c r="C705" t="str">
        <x:v>L1</x:v>
      </x:c>
      <x:c r="D705" t="str">
        <x:v>Envasado A</x:v>
      </x:c>
      <x:c r="E705" t="str">
        <x:v>Matutino</x:v>
      </x:c>
      <x:c r="F705" t="str">
        <x:v>CAM</x:v>
      </x:c>
      <x:c r="G705" t="str">
        <x:v>Cambio de formato</x:v>
      </x:c>
      <x:c r="H705" t="str">
        <x:v>Producción</x:v>
      </x:c>
      <x:c r="I705" t="n">
        <x:v>60</x:v>
      </x:c>
      <x:c r="J705" t="str">
        <x:v>Cerrada</x:v>
      </x:c>
      <x:c r="K705" t="str">
        <x:v>Inspección y liberación</x:v>
      </x:c>
    </x:row>
    <x:row r="706">
      <x:c r="A706" t="n">
        <x:v>705</x:v>
      </x:c>
      <x:c r="B706" t="str">
        <x:v>2026-09-23</x:v>
      </x:c>
      <x:c r="C706" t="str">
        <x:v>L2</x:v>
      </x:c>
      <x:c r="D706" t="str">
        <x:v>Envasado B</x:v>
      </x:c>
      <x:c r="E706" t="str">
        <x:v>Matutino</x:v>
      </x:c>
      <x:c r="F706" t="str">
        <x:v>MEC</x:v>
      </x:c>
      <x:c r="G706" t="str">
        <x:v>Falla mecánica</x:v>
      </x:c>
      <x:c r="H706" t="str">
        <x:v>Mantenimiento</x:v>
      </x:c>
      <x:c r="I706" t="n">
        <x:v>40</x:v>
      </x:c>
      <x:c r="J706" t="str">
        <x:v>Abierta</x:v>
      </x:c>
      <x:c r="K706" t="str">
        <x:v>Reinicio controlado</x:v>
      </x:c>
    </x:row>
    <x:row r="707">
      <x:c r="A707" t="n">
        <x:v>706</x:v>
      </x:c>
      <x:c r="B707" t="str">
        <x:v>2026-09-23</x:v>
      </x:c>
      <x:c r="C707" t="str">
        <x:v>L2</x:v>
      </x:c>
      <x:c r="D707" t="str">
        <x:v>Envasado B</x:v>
      </x:c>
      <x:c r="E707" t="str">
        <x:v>Vespertino</x:v>
      </x:c>
      <x:c r="F707" t="str">
        <x:v>MEC</x:v>
      </x:c>
      <x:c r="G707" t="str">
        <x:v>Falla mecánica</x:v>
      </x:c>
      <x:c r="H707" t="str">
        <x:v>Mantenimiento</x:v>
      </x:c>
      <x:c r="I707" t="n">
        <x:v>34</x:v>
      </x:c>
      <x:c r="J707" t="str">
        <x:v>Abierta</x:v>
      </x:c>
      <x:c r="K707" t="str">
        <x:v>Reinicio controlado</x:v>
      </x:c>
    </x:row>
    <x:row r="708">
      <x:c r="A708" t="n">
        <x:v>707</x:v>
      </x:c>
      <x:c r="B708" t="str">
        <x:v>2026-09-23</x:v>
      </x:c>
      <x:c r="C708" t="str">
        <x:v>L3</x:v>
      </x:c>
      <x:c r="D708" t="str">
        <x:v>Empaque</x:v>
      </x:c>
      <x:c r="E708" t="str">
        <x:v>Matutino</x:v>
      </x:c>
      <x:c r="F708" t="str">
        <x:v>CAM</x:v>
      </x:c>
      <x:c r="G708" t="str">
        <x:v>Cambio de formato</x:v>
      </x:c>
      <x:c r="H708" t="str">
        <x:v>Producción</x:v>
      </x:c>
      <x:c r="I708" t="n">
        <x:v>5</x:v>
      </x:c>
      <x:c r="J708" t="str">
        <x:v>Abierta</x:v>
      </x:c>
      <x:c r="K708" t="str">
        <x:v>Ajuste y prueba</x:v>
      </x:c>
    </x:row>
    <x:row r="709">
      <x:c r="A709" t="n">
        <x:v>708</x:v>
      </x:c>
      <x:c r="B709" t="str">
        <x:v>2026-09-23</x:v>
      </x:c>
      <x:c r="C709" t="str">
        <x:v>L3</x:v>
      </x:c>
      <x:c r="D709" t="str">
        <x:v>Empaque</x:v>
      </x:c>
      <x:c r="E709" t="str">
        <x:v>Vespertino</x:v>
      </x:c>
      <x:c r="F709" t="str">
        <x:v>CAL</x:v>
      </x:c>
      <x:c r="G709" t="str">
        <x:v>Ajuste de calidad</x:v>
      </x:c>
      <x:c r="H709" t="str">
        <x:v>Calidad</x:v>
      </x:c>
      <x:c r="I709" t="n">
        <x:v>11</x:v>
      </x:c>
      <x:c r="J709" t="str">
        <x:v>Cerrada</x:v>
      </x:c>
      <x:c r="K709" t="str">
        <x:v>Ajuste y prueba</x:v>
      </x:c>
    </x:row>
    <x:row r="710">
      <x:c r="A710" t="n">
        <x:v>709</x:v>
      </x:c>
      <x:c r="B710" t="str">
        <x:v>2026-09-23</x:v>
      </x:c>
      <x:c r="C710" t="str">
        <x:v>L4</x:v>
      </x:c>
      <x:c r="D710" t="str">
        <x:v>Etiquetado</x:v>
      </x:c>
      <x:c r="E710" t="str">
        <x:v>Matutino</x:v>
      </x:c>
      <x:c r="F710" t="str">
        <x:v>CAL</x:v>
      </x:c>
      <x:c r="G710" t="str">
        <x:v>Ajuste de calidad</x:v>
      </x:c>
      <x:c r="H710" t="str">
        <x:v>Calidad</x:v>
      </x:c>
      <x:c r="I710" t="n">
        <x:v>16</x:v>
      </x:c>
      <x:c r="J710" t="str">
        <x:v>Cerrada</x:v>
      </x:c>
      <x:c r="K710" t="str">
        <x:v>Cambio de componente</x:v>
      </x:c>
    </x:row>
    <x:row r="711">
      <x:c r="A711" t="n">
        <x:v>710</x:v>
      </x:c>
      <x:c r="B711" t="str">
        <x:v>2026-09-23</x:v>
      </x:c>
      <x:c r="C711" t="str">
        <x:v>L4</x:v>
      </x:c>
      <x:c r="D711" t="str">
        <x:v>Etiquetado</x:v>
      </x:c>
      <x:c r="E711" t="str">
        <x:v>Vespertino</x:v>
      </x:c>
      <x:c r="F711" t="str">
        <x:v>MAT</x:v>
      </x:c>
      <x:c r="G711" t="str">
        <x:v>Falta de material</x:v>
      </x:c>
      <x:c r="H711" t="str">
        <x:v>Logística</x:v>
      </x:c>
      <x:c r="I711" t="n">
        <x:v>18</x:v>
      </x:c>
      <x:c r="J711" t="str">
        <x:v>Cerrada</x:v>
      </x:c>
      <x:c r="K711" t="str">
        <x:v>Cambio de componente</x:v>
      </x:c>
    </x:row>
    <x:row r="712">
      <x:c r="A712" t="n">
        <x:v>711</x:v>
      </x:c>
      <x:c r="B712" t="str">
        <x:v>2026-09-24</x:v>
      </x:c>
      <x:c r="C712" t="str">
        <x:v>L1</x:v>
      </x:c>
      <x:c r="D712" t="str">
        <x:v>Envasado A</x:v>
      </x:c>
      <x:c r="E712" t="str">
        <x:v>Matutino</x:v>
      </x:c>
      <x:c r="F712" t="str">
        <x:v>CAL</x:v>
      </x:c>
      <x:c r="G712" t="str">
        <x:v>Ajuste de calidad</x:v>
      </x:c>
      <x:c r="H712" t="str">
        <x:v>Calidad</x:v>
      </x:c>
      <x:c r="I712" t="n">
        <x:v>16</x:v>
      </x:c>
      <x:c r="J712" t="str">
        <x:v>Cerrada</x:v>
      </x:c>
      <x:c r="K712" t="str">
        <x:v>Abastecimiento</x:v>
      </x:c>
    </x:row>
    <x:row r="713">
      <x:c r="A713" t="n">
        <x:v>712</x:v>
      </x:c>
      <x:c r="B713" t="str">
        <x:v>2026-09-24</x:v>
      </x:c>
      <x:c r="C713" t="str">
        <x:v>L1</x:v>
      </x:c>
      <x:c r="D713" t="str">
        <x:v>Envasado A</x:v>
      </x:c>
      <x:c r="E713" t="str">
        <x:v>Matutino</x:v>
      </x:c>
      <x:c r="F713" t="str">
        <x:v>MEC</x:v>
      </x:c>
      <x:c r="G713" t="str">
        <x:v>Falla mecánica</x:v>
      </x:c>
      <x:c r="H713" t="str">
        <x:v>Mantenimiento</x:v>
      </x:c>
      <x:c r="I713" t="n">
        <x:v>36</x:v>
      </x:c>
      <x:c r="J713" t="str">
        <x:v>Cerrada</x:v>
      </x:c>
      <x:c r="K713" t="str">
        <x:v>Cambio de componente</x:v>
      </x:c>
    </x:row>
    <x:row r="714">
      <x:c r="A714" t="n">
        <x:v>713</x:v>
      </x:c>
      <x:c r="B714" t="str">
        <x:v>2026-09-24</x:v>
      </x:c>
      <x:c r="C714" t="str">
        <x:v>L1</x:v>
      </x:c>
      <x:c r="D714" t="str">
        <x:v>Envasado A</x:v>
      </x:c>
      <x:c r="E714" t="str">
        <x:v>Vespertino</x:v>
      </x:c>
      <x:c r="F714" t="str">
        <x:v>ELE</x:v>
      </x:c>
      <x:c r="G714" t="str">
        <x:v>Falla eléctrica</x:v>
      </x:c>
      <x:c r="H714" t="str">
        <x:v>Mantenimiento</x:v>
      </x:c>
      <x:c r="I714" t="n">
        <x:v>34</x:v>
      </x:c>
      <x:c r="J714" t="str">
        <x:v>Cerrada</x:v>
      </x:c>
      <x:c r="K714" t="str">
        <x:v>Ajuste y prueba</x:v>
      </x:c>
    </x:row>
    <x:row r="715">
      <x:c r="A715" t="n">
        <x:v>714</x:v>
      </x:c>
      <x:c r="B715" t="str">
        <x:v>2026-09-24</x:v>
      </x:c>
      <x:c r="C715" t="str">
        <x:v>L2</x:v>
      </x:c>
      <x:c r="D715" t="str">
        <x:v>Envasado B</x:v>
      </x:c>
      <x:c r="E715" t="str">
        <x:v>Matutino</x:v>
      </x:c>
      <x:c r="F715" t="str">
        <x:v>MEC</x:v>
      </x:c>
      <x:c r="G715" t="str">
        <x:v>Falla mecánica</x:v>
      </x:c>
      <x:c r="H715" t="str">
        <x:v>Mantenimiento</x:v>
      </x:c>
      <x:c r="I715" t="n">
        <x:v>4</x:v>
      </x:c>
      <x:c r="J715" t="str">
        <x:v>Abierta</x:v>
      </x:c>
      <x:c r="K715" t="str">
        <x:v>Cambio de componente</x:v>
      </x:c>
    </x:row>
    <x:row r="716">
      <x:c r="A716" t="n">
        <x:v>715</x:v>
      </x:c>
      <x:c r="B716" t="str">
        <x:v>2026-09-24</x:v>
      </x:c>
      <x:c r="C716" t="str">
        <x:v>L2</x:v>
      </x:c>
      <x:c r="D716" t="str">
        <x:v>Envasado B</x:v>
      </x:c>
      <x:c r="E716" t="str">
        <x:v>Vespertino</x:v>
      </x:c>
      <x:c r="F716" t="str">
        <x:v>CAL</x:v>
      </x:c>
      <x:c r="G716" t="str">
        <x:v>Ajuste de calidad</x:v>
      </x:c>
      <x:c r="H716" t="str">
        <x:v>Calidad</x:v>
      </x:c>
      <x:c r="I716" t="n">
        <x:v>20</x:v>
      </x:c>
      <x:c r="J716" t="str">
        <x:v>Cerrada</x:v>
      </x:c>
      <x:c r="K716" t="str">
        <x:v>Inspección y liberación</x:v>
      </x:c>
    </x:row>
    <x:row r="717">
      <x:c r="A717" t="n">
        <x:v>716</x:v>
      </x:c>
      <x:c r="B717" t="str">
        <x:v>2026-09-24</x:v>
      </x:c>
      <x:c r="C717" t="str">
        <x:v>L3</x:v>
      </x:c>
      <x:c r="D717" t="str">
        <x:v>Empaque</x:v>
      </x:c>
      <x:c r="E717" t="str">
        <x:v>Matutino</x:v>
      </x:c>
      <x:c r="F717" t="str">
        <x:v>MAT</x:v>
      </x:c>
      <x:c r="G717" t="str">
        <x:v>Falta de material</x:v>
      </x:c>
      <x:c r="H717" t="str">
        <x:v>Logística</x:v>
      </x:c>
      <x:c r="I717" t="n">
        <x:v>38</x:v>
      </x:c>
      <x:c r="J717" t="str">
        <x:v>Cerrada</x:v>
      </x:c>
      <x:c r="K717" t="str">
        <x:v>Cambio de componente</x:v>
      </x:c>
    </x:row>
    <x:row r="718">
      <x:c r="A718" t="n">
        <x:v>717</x:v>
      </x:c>
      <x:c r="B718" t="str">
        <x:v>2026-09-24</x:v>
      </x:c>
      <x:c r="C718" t="str">
        <x:v>L3</x:v>
      </x:c>
      <x:c r="D718" t="str">
        <x:v>Empaque</x:v>
      </x:c>
      <x:c r="E718" t="str">
        <x:v>Vespertino</x:v>
      </x:c>
      <x:c r="F718" t="str">
        <x:v>MAT</x:v>
      </x:c>
      <x:c r="G718" t="str">
        <x:v>Falta de material</x:v>
      </x:c>
      <x:c r="H718" t="str">
        <x:v>Logística</x:v>
      </x:c>
      <x:c r="I718" t="n">
        <x:v>37</x:v>
      </x:c>
      <x:c r="J718" t="str">
        <x:v>Cerrada</x:v>
      </x:c>
      <x:c r="K718" t="str">
        <x:v>Cambio de componente</x:v>
      </x:c>
    </x:row>
    <x:row r="719">
      <x:c r="A719" t="n">
        <x:v>718</x:v>
      </x:c>
      <x:c r="B719" t="str">
        <x:v>2026-09-24</x:v>
      </x:c>
      <x:c r="C719" t="str">
        <x:v>L4</x:v>
      </x:c>
      <x:c r="D719" t="str">
        <x:v>Etiquetado</x:v>
      </x:c>
      <x:c r="E719" t="str">
        <x:v>Matutino</x:v>
      </x:c>
      <x:c r="F719" t="str">
        <x:v>MAT</x:v>
      </x:c>
      <x:c r="G719" t="str">
        <x:v>Falta de material</x:v>
      </x:c>
      <x:c r="H719" t="str">
        <x:v>Logística</x:v>
      </x:c>
      <x:c r="I719" t="n">
        <x:v>49</x:v>
      </x:c>
      <x:c r="J719" t="str">
        <x:v>Cerrada</x:v>
      </x:c>
      <x:c r="K719" t="str">
        <x:v>Inspección y liberación</x:v>
      </x:c>
    </x:row>
    <x:row r="720">
      <x:c r="A720" t="n">
        <x:v>719</x:v>
      </x:c>
      <x:c r="B720" t="str">
        <x:v>2026-09-24</x:v>
      </x:c>
      <x:c r="C720" t="str">
        <x:v>L4</x:v>
      </x:c>
      <x:c r="D720" t="str">
        <x:v>Etiquetado</x:v>
      </x:c>
      <x:c r="E720" t="str">
        <x:v>Vespertino</x:v>
      </x:c>
      <x:c r="F720" t="str">
        <x:v>CAM</x:v>
      </x:c>
      <x:c r="G720" t="str">
        <x:v>Cambio de formato</x:v>
      </x:c>
      <x:c r="H720" t="str">
        <x:v>Producción</x:v>
      </x:c>
      <x:c r="I720" t="n">
        <x:v>38</x:v>
      </x:c>
      <x:c r="J720" t="str">
        <x:v>Abierta</x:v>
      </x:c>
      <x:c r="K720" t="str">
        <x:v>Cambio de componente</x:v>
      </x:c>
    </x:row>
    <x:row r="721">
      <x:c r="A721" t="n">
        <x:v>720</x:v>
      </x:c>
      <x:c r="B721" t="str">
        <x:v>2026-09-25</x:v>
      </x:c>
      <x:c r="C721" t="str">
        <x:v>L1</x:v>
      </x:c>
      <x:c r="D721" t="str">
        <x:v>Envasado A</x:v>
      </x:c>
      <x:c r="E721" t="str">
        <x:v>Matutino</x:v>
      </x:c>
      <x:c r="F721" t="str">
        <x:v>CAM</x:v>
      </x:c>
      <x:c r="G721" t="str">
        <x:v>Cambio de formato</x:v>
      </x:c>
      <x:c r="H721" t="str">
        <x:v>Producción</x:v>
      </x:c>
      <x:c r="I721" t="n">
        <x:v>69</x:v>
      </x:c>
      <x:c r="J721" t="str">
        <x:v>Abierta</x:v>
      </x:c>
      <x:c r="K721" t="str">
        <x:v>Ajuste y prueba</x:v>
      </x:c>
    </x:row>
    <x:row r="722">
      <x:c r="A722" t="n">
        <x:v>721</x:v>
      </x:c>
      <x:c r="B722" t="str">
        <x:v>2026-09-25</x:v>
      </x:c>
      <x:c r="C722" t="str">
        <x:v>L1</x:v>
      </x:c>
      <x:c r="D722" t="str">
        <x:v>Envasado A</x:v>
      </x:c>
      <x:c r="E722" t="str">
        <x:v>Vespertino</x:v>
      </x:c>
      <x:c r="F722" t="str">
        <x:v>CAM</x:v>
      </x:c>
      <x:c r="G722" t="str">
        <x:v>Cambio de formato</x:v>
      </x:c>
      <x:c r="H722" t="str">
        <x:v>Producción</x:v>
      </x:c>
      <x:c r="I722" t="n">
        <x:v>26</x:v>
      </x:c>
      <x:c r="J722" t="str">
        <x:v>Abierta</x:v>
      </x:c>
      <x:c r="K722" t="str">
        <x:v>Ajuste y prueba</x:v>
      </x:c>
    </x:row>
    <x:row r="723">
      <x:c r="A723" t="n">
        <x:v>722</x:v>
      </x:c>
      <x:c r="B723" t="str">
        <x:v>2026-09-25</x:v>
      </x:c>
      <x:c r="C723" t="str">
        <x:v>L2</x:v>
      </x:c>
      <x:c r="D723" t="str">
        <x:v>Envasado B</x:v>
      </x:c>
      <x:c r="E723" t="str">
        <x:v>Vespertino</x:v>
      </x:c>
      <x:c r="F723" t="str">
        <x:v>ELE</x:v>
      </x:c>
      <x:c r="G723" t="str">
        <x:v>Falla eléctrica</x:v>
      </x:c>
      <x:c r="H723" t="str">
        <x:v>Mantenimiento</x:v>
      </x:c>
      <x:c r="I723" t="n">
        <x:v>20</x:v>
      </x:c>
      <x:c r="J723" t="str">
        <x:v>Cerrada</x:v>
      </x:c>
      <x:c r="K723" t="str">
        <x:v>Inspección y liberación</x:v>
      </x:c>
    </x:row>
    <x:row r="724">
      <x:c r="A724" t="n">
        <x:v>723</x:v>
      </x:c>
      <x:c r="B724" t="str">
        <x:v>2026-09-25</x:v>
      </x:c>
      <x:c r="C724" t="str">
        <x:v>L2</x:v>
      </x:c>
      <x:c r="D724" t="str">
        <x:v>Envasado B</x:v>
      </x:c>
      <x:c r="E724" t="str">
        <x:v>Vespertino</x:v>
      </x:c>
      <x:c r="F724" t="str">
        <x:v>MAT</x:v>
      </x:c>
      <x:c r="G724" t="str">
        <x:v>Falta de material</x:v>
      </x:c>
      <x:c r="H724" t="str">
        <x:v>Logística</x:v>
      </x:c>
      <x:c r="I724" t="n">
        <x:v>19</x:v>
      </x:c>
      <x:c r="J724" t="str">
        <x:v>Cerrada</x:v>
      </x:c>
      <x:c r="K724" t="str">
        <x:v>Cambio de componente</x:v>
      </x:c>
    </x:row>
    <x:row r="725">
      <x:c r="A725" t="n">
        <x:v>724</x:v>
      </x:c>
      <x:c r="B725" t="str">
        <x:v>2026-09-25</x:v>
      </x:c>
      <x:c r="C725" t="str">
        <x:v>L2</x:v>
      </x:c>
      <x:c r="D725" t="str">
        <x:v>Envasado B</x:v>
      </x:c>
      <x:c r="E725" t="str">
        <x:v>Vespertino</x:v>
      </x:c>
      <x:c r="F725" t="str">
        <x:v>CAL</x:v>
      </x:c>
      <x:c r="G725" t="str">
        <x:v>Ajuste de calidad</x:v>
      </x:c>
      <x:c r="H725" t="str">
        <x:v>Calidad</x:v>
      </x:c>
      <x:c r="I725" t="n">
        <x:v>23</x:v>
      </x:c>
      <x:c r="J725" t="str">
        <x:v>Abierta</x:v>
      </x:c>
      <x:c r="K725" t="str">
        <x:v>Abastecimiento</x:v>
      </x:c>
    </x:row>
    <x:row r="726">
      <x:c r="A726" t="n">
        <x:v>725</x:v>
      </x:c>
      <x:c r="B726" t="str">
        <x:v>2026-09-25</x:v>
      </x:c>
      <x:c r="C726" t="str">
        <x:v>L3</x:v>
      </x:c>
      <x:c r="D726" t="str">
        <x:v>Empaque</x:v>
      </x:c>
      <x:c r="E726" t="str">
        <x:v>Matutino</x:v>
      </x:c>
      <x:c r="F726" t="str">
        <x:v>CAM</x:v>
      </x:c>
      <x:c r="G726" t="str">
        <x:v>Cambio de formato</x:v>
      </x:c>
      <x:c r="H726" t="str">
        <x:v>Producción</x:v>
      </x:c>
      <x:c r="I726" t="n">
        <x:v>10</x:v>
      </x:c>
      <x:c r="J726" t="str">
        <x:v>Abierta</x:v>
      </x:c>
      <x:c r="K726" t="str">
        <x:v>Abastecimiento</x:v>
      </x:c>
    </x:row>
    <x:row r="727">
      <x:c r="A727" t="n">
        <x:v>726</x:v>
      </x:c>
      <x:c r="B727" t="str">
        <x:v>2026-09-25</x:v>
      </x:c>
      <x:c r="C727" t="str">
        <x:v>L3</x:v>
      </x:c>
      <x:c r="D727" t="str">
        <x:v>Empaque</x:v>
      </x:c>
      <x:c r="E727" t="str">
        <x:v>Matutino</x:v>
      </x:c>
      <x:c r="F727" t="str">
        <x:v>MAT</x:v>
      </x:c>
      <x:c r="G727" t="str">
        <x:v>Falta de material</x:v>
      </x:c>
      <x:c r="H727" t="str">
        <x:v>Logística</x:v>
      </x:c>
      <x:c r="I727" t="n">
        <x:v>41</x:v>
      </x:c>
      <x:c r="J727" t="str">
        <x:v>Cerrada</x:v>
      </x:c>
      <x:c r="K727" t="str">
        <x:v>Abastecimiento</x:v>
      </x:c>
    </x:row>
    <x:row r="728">
      <x:c r="A728" t="n">
        <x:v>727</x:v>
      </x:c>
      <x:c r="B728" t="str">
        <x:v>2026-09-25</x:v>
      </x:c>
      <x:c r="C728" t="str">
        <x:v>L3</x:v>
      </x:c>
      <x:c r="D728" t="str">
        <x:v>Empaque</x:v>
      </x:c>
      <x:c r="E728" t="str">
        <x:v>Vespertino</x:v>
      </x:c>
      <x:c r="F728" t="str">
        <x:v>ELE</x:v>
      </x:c>
      <x:c r="G728" t="str">
        <x:v>Falla eléctrica</x:v>
      </x:c>
      <x:c r="H728" t="str">
        <x:v>Mantenimiento</x:v>
      </x:c>
      <x:c r="I728" t="n">
        <x:v>15</x:v>
      </x:c>
      <x:c r="J728" t="str">
        <x:v>Cerrada</x:v>
      </x:c>
      <x:c r="K728" t="str">
        <x:v>Reinicio controlado</x:v>
      </x:c>
    </x:row>
    <x:row r="729">
      <x:c r="A729" t="n">
        <x:v>728</x:v>
      </x:c>
      <x:c r="B729" t="str">
        <x:v>2026-09-25</x:v>
      </x:c>
      <x:c r="C729" t="str">
        <x:v>L3</x:v>
      </x:c>
      <x:c r="D729" t="str">
        <x:v>Empaque</x:v>
      </x:c>
      <x:c r="E729" t="str">
        <x:v>Vespertino</x:v>
      </x:c>
      <x:c r="F729" t="str">
        <x:v>CAM</x:v>
      </x:c>
      <x:c r="G729" t="str">
        <x:v>Cambio de formato</x:v>
      </x:c>
      <x:c r="H729" t="str">
        <x:v>Producción</x:v>
      </x:c>
      <x:c r="I729" t="n">
        <x:v>38</x:v>
      </x:c>
      <x:c r="J729" t="str">
        <x:v>Cerrada</x:v>
      </x:c>
      <x:c r="K729" t="str">
        <x:v>Reinicio controlado</x:v>
      </x:c>
    </x:row>
    <x:row r="730">
      <x:c r="A730" t="n">
        <x:v>729</x:v>
      </x:c>
      <x:c r="B730" t="str">
        <x:v>2026-09-25</x:v>
      </x:c>
      <x:c r="C730" t="str">
        <x:v>L4</x:v>
      </x:c>
      <x:c r="D730" t="str">
        <x:v>Etiquetado</x:v>
      </x:c>
      <x:c r="E730" t="str">
        <x:v>Vespertino</x:v>
      </x:c>
      <x:c r="F730" t="str">
        <x:v>CAM</x:v>
      </x:c>
      <x:c r="G730" t="str">
        <x:v>Cambio de formato</x:v>
      </x:c>
      <x:c r="H730" t="str">
        <x:v>Producción</x:v>
      </x:c>
      <x:c r="I730" t="n">
        <x:v>22</x:v>
      </x:c>
      <x:c r="J730" t="str">
        <x:v>Abierta</x:v>
      </x:c>
      <x:c r="K730" t="str">
        <x:v>Ajuste y prueba</x:v>
      </x:c>
    </x:row>
    <x:row r="731">
      <x:c r="A731" t="n">
        <x:v>730</x:v>
      </x:c>
      <x:c r="B731" t="str">
        <x:v>2026-09-25</x:v>
      </x:c>
      <x:c r="C731" t="str">
        <x:v>L4</x:v>
      </x:c>
      <x:c r="D731" t="str">
        <x:v>Etiquetado</x:v>
      </x:c>
      <x:c r="E731" t="str">
        <x:v>Vespertino</x:v>
      </x:c>
      <x:c r="F731" t="str">
        <x:v>CAM</x:v>
      </x:c>
      <x:c r="G731" t="str">
        <x:v>Cambio de formato</x:v>
      </x:c>
      <x:c r="H731" t="str">
        <x:v>Producción</x:v>
      </x:c>
      <x:c r="I731" t="n">
        <x:v>29</x:v>
      </x:c>
      <x:c r="J731" t="str">
        <x:v>Abierta</x:v>
      </x:c>
      <x:c r="K731" t="str">
        <x:v>Reinicio controlado</x:v>
      </x:c>
    </x:row>
    <x:row r="732">
      <x:c r="A732" t="n">
        <x:v>731</x:v>
      </x:c>
      <x:c r="B732" t="str">
        <x:v>2026-09-26</x:v>
      </x:c>
      <x:c r="C732" t="str">
        <x:v>L1</x:v>
      </x:c>
      <x:c r="D732" t="str">
        <x:v>Envasado A</x:v>
      </x:c>
      <x:c r="E732" t="str">
        <x:v>Vespertino</x:v>
      </x:c>
      <x:c r="F732" t="str">
        <x:v>CAM</x:v>
      </x:c>
      <x:c r="G732" t="str">
        <x:v>Cambio de formato</x:v>
      </x:c>
      <x:c r="H732" t="str">
        <x:v>Producción</x:v>
      </x:c>
      <x:c r="I732" t="n">
        <x:v>29</x:v>
      </x:c>
      <x:c r="J732" t="str">
        <x:v>Cerrada</x:v>
      </x:c>
      <x:c r="K732" t="str">
        <x:v>Cambio de componente</x:v>
      </x:c>
    </x:row>
    <x:row r="733">
      <x:c r="A733" t="n">
        <x:v>732</x:v>
      </x:c>
      <x:c r="B733" t="str">
        <x:v>2026-09-26</x:v>
      </x:c>
      <x:c r="C733" t="str">
        <x:v>L2</x:v>
      </x:c>
      <x:c r="D733" t="str">
        <x:v>Envasado B</x:v>
      </x:c>
      <x:c r="E733" t="str">
        <x:v>Matutino</x:v>
      </x:c>
      <x:c r="F733" t="str">
        <x:v>MAT</x:v>
      </x:c>
      <x:c r="G733" t="str">
        <x:v>Falta de material</x:v>
      </x:c>
      <x:c r="H733" t="str">
        <x:v>Logística</x:v>
      </x:c>
      <x:c r="I733" t="n">
        <x:v>1</x:v>
      </x:c>
      <x:c r="J733" t="str">
        <x:v>Cerrada</x:v>
      </x:c>
      <x:c r="K733" t="str">
        <x:v>Inspección y liberación</x:v>
      </x:c>
    </x:row>
    <x:row r="734">
      <x:c r="A734" t="n">
        <x:v>733</x:v>
      </x:c>
      <x:c r="B734" t="str">
        <x:v>2026-09-26</x:v>
      </x:c>
      <x:c r="C734" t="str">
        <x:v>L3</x:v>
      </x:c>
      <x:c r="D734" t="str">
        <x:v>Empaque</x:v>
      </x:c>
      <x:c r="E734" t="str">
        <x:v>Matutino</x:v>
      </x:c>
      <x:c r="F734" t="str">
        <x:v>CAL</x:v>
      </x:c>
      <x:c r="G734" t="str">
        <x:v>Ajuste de calidad</x:v>
      </x:c>
      <x:c r="H734" t="str">
        <x:v>Calidad</x:v>
      </x:c>
      <x:c r="I734" t="n">
        <x:v>6</x:v>
      </x:c>
      <x:c r="J734" t="str">
        <x:v>Cerrada</x:v>
      </x:c>
      <x:c r="K734" t="str">
        <x:v>Inspección y liberación</x:v>
      </x:c>
    </x:row>
    <x:row r="735">
      <x:c r="A735" t="n">
        <x:v>734</x:v>
      </x:c>
      <x:c r="B735" t="str">
        <x:v>2026-09-26</x:v>
      </x:c>
      <x:c r="C735" t="str">
        <x:v>L3</x:v>
      </x:c>
      <x:c r="D735" t="str">
        <x:v>Empaque</x:v>
      </x:c>
      <x:c r="E735" t="str">
        <x:v>Vespertino</x:v>
      </x:c>
      <x:c r="F735" t="str">
        <x:v>CAM</x:v>
      </x:c>
      <x:c r="G735" t="str">
        <x:v>Cambio de formato</x:v>
      </x:c>
      <x:c r="H735" t="str">
        <x:v>Producción</x:v>
      </x:c>
      <x:c r="I735" t="n">
        <x:v>45</x:v>
      </x:c>
      <x:c r="J735" t="str">
        <x:v>Abierta</x:v>
      </x:c>
      <x:c r="K735" t="str">
        <x:v>Reinicio controlado</x:v>
      </x:c>
    </x:row>
    <x:row r="736">
      <x:c r="A736" t="n">
        <x:v>735</x:v>
      </x:c>
      <x:c r="B736" t="str">
        <x:v>2026-09-26</x:v>
      </x:c>
      <x:c r="C736" t="str">
        <x:v>L4</x:v>
      </x:c>
      <x:c r="D736" t="str">
        <x:v>Etiquetado</x:v>
      </x:c>
      <x:c r="E736" t="str">
        <x:v>Vespertino</x:v>
      </x:c>
      <x:c r="F736" t="str">
        <x:v>CAL</x:v>
      </x:c>
      <x:c r="G736" t="str">
        <x:v>Ajuste de calidad</x:v>
      </x:c>
      <x:c r="H736" t="str">
        <x:v>Calidad</x:v>
      </x:c>
      <x:c r="I736" t="n">
        <x:v>27</x:v>
      </x:c>
      <x:c r="J736" t="str">
        <x:v>Abierta</x:v>
      </x:c>
      <x:c r="K736" t="str">
        <x:v>Reinicio controlado</x:v>
      </x:c>
    </x:row>
    <x:row r="737">
      <x:c r="A737" t="n">
        <x:v>736</x:v>
      </x:c>
      <x:c r="B737" t="str">
        <x:v>2026-09-27</x:v>
      </x:c>
      <x:c r="C737" t="str">
        <x:v>L1</x:v>
      </x:c>
      <x:c r="D737" t="str">
        <x:v>Envasado A</x:v>
      </x:c>
      <x:c r="E737" t="str">
        <x:v>Matutino</x:v>
      </x:c>
      <x:c r="F737" t="str">
        <x:v>CAL</x:v>
      </x:c>
      <x:c r="G737" t="str">
        <x:v>Ajuste de calidad</x:v>
      </x:c>
      <x:c r="H737" t="str">
        <x:v>Calidad</x:v>
      </x:c>
      <x:c r="I737" t="n">
        <x:v>32</x:v>
      </x:c>
      <x:c r="J737" t="str">
        <x:v>Cerrada</x:v>
      </x:c>
      <x:c r="K737" t="str">
        <x:v>Abastecimiento</x:v>
      </x:c>
    </x:row>
    <x:row r="738">
      <x:c r="A738" t="n">
        <x:v>737</x:v>
      </x:c>
      <x:c r="B738" t="str">
        <x:v>2026-09-27</x:v>
      </x:c>
      <x:c r="C738" t="str">
        <x:v>L2</x:v>
      </x:c>
      <x:c r="D738" t="str">
        <x:v>Envasado B</x:v>
      </x:c>
      <x:c r="E738" t="str">
        <x:v>Matutino</x:v>
      </x:c>
      <x:c r="F738" t="str">
        <x:v>CAL</x:v>
      </x:c>
      <x:c r="G738" t="str">
        <x:v>Ajuste de calidad</x:v>
      </x:c>
      <x:c r="H738" t="str">
        <x:v>Calidad</x:v>
      </x:c>
      <x:c r="I738" t="n">
        <x:v>29</x:v>
      </x:c>
      <x:c r="J738" t="str">
        <x:v>Cerrada</x:v>
      </x:c>
      <x:c r="K738" t="str">
        <x:v>Cambio de componente</x:v>
      </x:c>
    </x:row>
    <x:row r="739">
      <x:c r="A739" t="n">
        <x:v>738</x:v>
      </x:c>
      <x:c r="B739" t="str">
        <x:v>2026-09-27</x:v>
      </x:c>
      <x:c r="C739" t="str">
        <x:v>L2</x:v>
      </x:c>
      <x:c r="D739" t="str">
        <x:v>Envasado B</x:v>
      </x:c>
      <x:c r="E739" t="str">
        <x:v>Vespertino</x:v>
      </x:c>
      <x:c r="F739" t="str">
        <x:v>CAL</x:v>
      </x:c>
      <x:c r="G739" t="str">
        <x:v>Ajuste de calidad</x:v>
      </x:c>
      <x:c r="H739" t="str">
        <x:v>Calidad</x:v>
      </x:c>
      <x:c r="I739" t="n">
        <x:v>7</x:v>
      </x:c>
      <x:c r="J739" t="str">
        <x:v>Cerrada</x:v>
      </x:c>
      <x:c r="K739" t="str">
        <x:v>Inspección y liberación</x:v>
      </x:c>
    </x:row>
    <x:row r="740">
      <x:c r="A740" t="n">
        <x:v>739</x:v>
      </x:c>
      <x:c r="B740" t="str">
        <x:v>2026-09-28</x:v>
      </x:c>
      <x:c r="C740" t="str">
        <x:v>L1</x:v>
      </x:c>
      <x:c r="D740" t="str">
        <x:v>Envasado A</x:v>
      </x:c>
      <x:c r="E740" t="str">
        <x:v>Matutino</x:v>
      </x:c>
      <x:c r="F740" t="str">
        <x:v>CAM</x:v>
      </x:c>
      <x:c r="G740" t="str">
        <x:v>Cambio de formato</x:v>
      </x:c>
      <x:c r="H740" t="str">
        <x:v>Producción</x:v>
      </x:c>
      <x:c r="I740" t="n">
        <x:v>23</x:v>
      </x:c>
      <x:c r="J740" t="str">
        <x:v>Abierta</x:v>
      </x:c>
      <x:c r="K740" t="str">
        <x:v>Reinicio controlado</x:v>
      </x:c>
    </x:row>
    <x:row r="741">
      <x:c r="A741" t="n">
        <x:v>740</x:v>
      </x:c>
      <x:c r="B741" t="str">
        <x:v>2026-09-28</x:v>
      </x:c>
      <x:c r="C741" t="str">
        <x:v>L1</x:v>
      </x:c>
      <x:c r="D741" t="str">
        <x:v>Envasado A</x:v>
      </x:c>
      <x:c r="E741" t="str">
        <x:v>Matutino</x:v>
      </x:c>
      <x:c r="F741" t="str">
        <x:v>ELE</x:v>
      </x:c>
      <x:c r="G741" t="str">
        <x:v>Falla eléctrica</x:v>
      </x:c>
      <x:c r="H741" t="str">
        <x:v>Mantenimiento</x:v>
      </x:c>
      <x:c r="I741" t="n">
        <x:v>38</x:v>
      </x:c>
      <x:c r="J741" t="str">
        <x:v>Cerrada</x:v>
      </x:c>
      <x:c r="K741" t="str">
        <x:v>Abastecimiento</x:v>
      </x:c>
    </x:row>
    <x:row r="742">
      <x:c r="A742" t="n">
        <x:v>741</x:v>
      </x:c>
      <x:c r="B742" t="str">
        <x:v>2026-09-28</x:v>
      </x:c>
      <x:c r="C742" t="str">
        <x:v>L2</x:v>
      </x:c>
      <x:c r="D742" t="str">
        <x:v>Envasado B</x:v>
      </x:c>
      <x:c r="E742" t="str">
        <x:v>Matutino</x:v>
      </x:c>
      <x:c r="F742" t="str">
        <x:v>CAL</x:v>
      </x:c>
      <x:c r="G742" t="str">
        <x:v>Ajuste de calidad</x:v>
      </x:c>
      <x:c r="H742" t="str">
        <x:v>Calidad</x:v>
      </x:c>
      <x:c r="I742" t="n">
        <x:v>29</x:v>
      </x:c>
      <x:c r="J742" t="str">
        <x:v>Cerrada</x:v>
      </x:c>
      <x:c r="K742" t="str">
        <x:v>Inspección y liberación</x:v>
      </x:c>
    </x:row>
    <x:row r="743">
      <x:c r="A743" t="n">
        <x:v>742</x:v>
      </x:c>
      <x:c r="B743" t="str">
        <x:v>2026-09-28</x:v>
      </x:c>
      <x:c r="C743" t="str">
        <x:v>L2</x:v>
      </x:c>
      <x:c r="D743" t="str">
        <x:v>Envasado B</x:v>
      </x:c>
      <x:c r="E743" t="str">
        <x:v>Vespertino</x:v>
      </x:c>
      <x:c r="F743" t="str">
        <x:v>ELE</x:v>
      </x:c>
      <x:c r="G743" t="str">
        <x:v>Falla eléctrica</x:v>
      </x:c>
      <x:c r="H743" t="str">
        <x:v>Mantenimiento</x:v>
      </x:c>
      <x:c r="I743" t="n">
        <x:v>27</x:v>
      </x:c>
      <x:c r="J743" t="str">
        <x:v>Cerrada</x:v>
      </x:c>
      <x:c r="K743" t="str">
        <x:v>Ajuste y prueba</x:v>
      </x:c>
    </x:row>
    <x:row r="744">
      <x:c r="A744" t="n">
        <x:v>743</x:v>
      </x:c>
      <x:c r="B744" t="str">
        <x:v>2026-09-28</x:v>
      </x:c>
      <x:c r="C744" t="str">
        <x:v>L3</x:v>
      </x:c>
      <x:c r="D744" t="str">
        <x:v>Empaque</x:v>
      </x:c>
      <x:c r="E744" t="str">
        <x:v>Matutino</x:v>
      </x:c>
      <x:c r="F744" t="str">
        <x:v>CAL</x:v>
      </x:c>
      <x:c r="G744" t="str">
        <x:v>Ajuste de calidad</x:v>
      </x:c>
      <x:c r="H744" t="str">
        <x:v>Calidad</x:v>
      </x:c>
      <x:c r="I744" t="n">
        <x:v>39</x:v>
      </x:c>
      <x:c r="J744" t="str">
        <x:v>Cerrada</x:v>
      </x:c>
      <x:c r="K744" t="str">
        <x:v>Ajuste y prueba</x:v>
      </x:c>
    </x:row>
    <x:row r="745">
      <x:c r="A745" t="n">
        <x:v>744</x:v>
      </x:c>
      <x:c r="B745" t="str">
        <x:v>2026-09-28</x:v>
      </x:c>
      <x:c r="C745" t="str">
        <x:v>L3</x:v>
      </x:c>
      <x:c r="D745" t="str">
        <x:v>Empaque</x:v>
      </x:c>
      <x:c r="E745" t="str">
        <x:v>Vespertino</x:v>
      </x:c>
      <x:c r="F745" t="str">
        <x:v>CAL</x:v>
      </x:c>
      <x:c r="G745" t="str">
        <x:v>Ajuste de calidad</x:v>
      </x:c>
      <x:c r="H745" t="str">
        <x:v>Calidad</x:v>
      </x:c>
      <x:c r="I745" t="n">
        <x:v>16</x:v>
      </x:c>
      <x:c r="J745" t="str">
        <x:v>Cerrada</x:v>
      </x:c>
      <x:c r="K745" t="str">
        <x:v>Reinicio controlado</x:v>
      </x:c>
    </x:row>
    <x:row r="746">
      <x:c r="A746" t="n">
        <x:v>745</x:v>
      </x:c>
      <x:c r="B746" t="str">
        <x:v>2026-09-28</x:v>
      </x:c>
      <x:c r="C746" t="str">
        <x:v>L4</x:v>
      </x:c>
      <x:c r="D746" t="str">
        <x:v>Etiquetado</x:v>
      </x:c>
      <x:c r="E746" t="str">
        <x:v>Matutino</x:v>
      </x:c>
      <x:c r="F746" t="str">
        <x:v>CAL</x:v>
      </x:c>
      <x:c r="G746" t="str">
        <x:v>Ajuste de calidad</x:v>
      </x:c>
      <x:c r="H746" t="str">
        <x:v>Calidad</x:v>
      </x:c>
      <x:c r="I746" t="n">
        <x:v>10</x:v>
      </x:c>
      <x:c r="J746" t="str">
        <x:v>Abierta</x:v>
      </x:c>
      <x:c r="K746" t="str">
        <x:v>Abastecimiento</x:v>
      </x:c>
    </x:row>
    <x:row r="747">
      <x:c r="A747" t="n">
        <x:v>746</x:v>
      </x:c>
      <x:c r="B747" t="str">
        <x:v>2026-09-28</x:v>
      </x:c>
      <x:c r="C747" t="str">
        <x:v>L4</x:v>
      </x:c>
      <x:c r="D747" t="str">
        <x:v>Etiquetado</x:v>
      </x:c>
      <x:c r="E747" t="str">
        <x:v>Vespertino</x:v>
      </x:c>
      <x:c r="F747" t="str">
        <x:v>CAM</x:v>
      </x:c>
      <x:c r="G747" t="str">
        <x:v>Cambio de formato</x:v>
      </x:c>
      <x:c r="H747" t="str">
        <x:v>Producción</x:v>
      </x:c>
      <x:c r="I747" t="n">
        <x:v>17</x:v>
      </x:c>
      <x:c r="J747" t="str">
        <x:v>Abierta</x:v>
      </x:c>
      <x:c r="K747" t="str">
        <x:v>Inspección y liberación</x:v>
      </x:c>
    </x:row>
    <x:row r="748">
      <x:c r="A748" t="n">
        <x:v>747</x:v>
      </x:c>
      <x:c r="B748" t="str">
        <x:v>2026-09-28</x:v>
      </x:c>
      <x:c r="C748" t="str">
        <x:v>L4</x:v>
      </x:c>
      <x:c r="D748" t="str">
        <x:v>Etiquetado</x:v>
      </x:c>
      <x:c r="E748" t="str">
        <x:v>Vespertino</x:v>
      </x:c>
      <x:c r="F748" t="str">
        <x:v>MEC</x:v>
      </x:c>
      <x:c r="G748" t="str">
        <x:v>Falla mecánica</x:v>
      </x:c>
      <x:c r="H748" t="str">
        <x:v>Mantenimiento</x:v>
      </x:c>
      <x:c r="I748" t="n">
        <x:v>64</x:v>
      </x:c>
      <x:c r="J748" t="str">
        <x:v>Cerrada</x:v>
      </x:c>
      <x:c r="K748" t="str">
        <x:v>Reinicio controlado</x:v>
      </x:c>
    </x:row>
    <x:row r="749">
      <x:c r="A749" t="n">
        <x:v>748</x:v>
      </x:c>
      <x:c r="B749" t="str">
        <x:v>2026-09-29</x:v>
      </x:c>
      <x:c r="C749" t="str">
        <x:v>L1</x:v>
      </x:c>
      <x:c r="D749" t="str">
        <x:v>Envasado A</x:v>
      </x:c>
      <x:c r="E749" t="str">
        <x:v>Matutino</x:v>
      </x:c>
      <x:c r="F749" t="str">
        <x:v>MEC</x:v>
      </x:c>
      <x:c r="G749" t="str">
        <x:v>Falla mecánica</x:v>
      </x:c>
      <x:c r="H749" t="str">
        <x:v>Mantenimiento</x:v>
      </x:c>
      <x:c r="I749" t="n">
        <x:v>28</x:v>
      </x:c>
      <x:c r="J749" t="str">
        <x:v>Abierta</x:v>
      </x:c>
      <x:c r="K749" t="str">
        <x:v>Cambio de componente</x:v>
      </x:c>
    </x:row>
    <x:row r="750">
      <x:c r="A750" t="n">
        <x:v>749</x:v>
      </x:c>
      <x:c r="B750" t="str">
        <x:v>2026-09-29</x:v>
      </x:c>
      <x:c r="C750" t="str">
        <x:v>L1</x:v>
      </x:c>
      <x:c r="D750" t="str">
        <x:v>Envasado A</x:v>
      </x:c>
      <x:c r="E750" t="str">
        <x:v>Matutino</x:v>
      </x:c>
      <x:c r="F750" t="str">
        <x:v>ELE</x:v>
      </x:c>
      <x:c r="G750" t="str">
        <x:v>Falla eléctrica</x:v>
      </x:c>
      <x:c r="H750" t="str">
        <x:v>Mantenimiento</x:v>
      </x:c>
      <x:c r="I750" t="n">
        <x:v>21</x:v>
      </x:c>
      <x:c r="J750" t="str">
        <x:v>Abierta</x:v>
      </x:c>
      <x:c r="K750" t="str">
        <x:v>Cambio de componente</x:v>
      </x:c>
    </x:row>
    <x:row r="751">
      <x:c r="A751" t="n">
        <x:v>750</x:v>
      </x:c>
      <x:c r="B751" t="str">
        <x:v>2026-09-29</x:v>
      </x:c>
      <x:c r="C751" t="str">
        <x:v>L1</x:v>
      </x:c>
      <x:c r="D751" t="str">
        <x:v>Envasado A</x:v>
      </x:c>
      <x:c r="E751" t="str">
        <x:v>Matutino</x:v>
      </x:c>
      <x:c r="F751" t="str">
        <x:v>ELE</x:v>
      </x:c>
      <x:c r="G751" t="str">
        <x:v>Falla eléctrica</x:v>
      </x:c>
      <x:c r="H751" t="str">
        <x:v>Mantenimiento</x:v>
      </x:c>
      <x:c r="I751" t="n">
        <x:v>5</x:v>
      </x:c>
      <x:c r="J751" t="str">
        <x:v>Cerrada</x:v>
      </x:c>
      <x:c r="K751" t="str">
        <x:v>Inspección y liberación</x:v>
      </x:c>
    </x:row>
    <x:row r="752">
      <x:c r="A752" t="n">
        <x:v>751</x:v>
      </x:c>
      <x:c r="B752" t="str">
        <x:v>2026-09-29</x:v>
      </x:c>
      <x:c r="C752" t="str">
        <x:v>L2</x:v>
      </x:c>
      <x:c r="D752" t="str">
        <x:v>Envasado B</x:v>
      </x:c>
      <x:c r="E752" t="str">
        <x:v>Matutino</x:v>
      </x:c>
      <x:c r="F752" t="str">
        <x:v>MAT</x:v>
      </x:c>
      <x:c r="G752" t="str">
        <x:v>Falta de material</x:v>
      </x:c>
      <x:c r="H752" t="str">
        <x:v>Logística</x:v>
      </x:c>
      <x:c r="I752" t="n">
        <x:v>26</x:v>
      </x:c>
      <x:c r="J752" t="str">
        <x:v>Cerrada</x:v>
      </x:c>
      <x:c r="K752" t="str">
        <x:v>Inspección y liberación</x:v>
      </x:c>
    </x:row>
    <x:row r="753">
      <x:c r="A753" t="n">
        <x:v>752</x:v>
      </x:c>
      <x:c r="B753" t="str">
        <x:v>2026-09-29</x:v>
      </x:c>
      <x:c r="C753" t="str">
        <x:v>L2</x:v>
      </x:c>
      <x:c r="D753" t="str">
        <x:v>Envasado B</x:v>
      </x:c>
      <x:c r="E753" t="str">
        <x:v>Vespertino</x:v>
      </x:c>
      <x:c r="F753" t="str">
        <x:v>CAL</x:v>
      </x:c>
      <x:c r="G753" t="str">
        <x:v>Ajuste de calidad</x:v>
      </x:c>
      <x:c r="H753" t="str">
        <x:v>Calidad</x:v>
      </x:c>
      <x:c r="I753" t="n">
        <x:v>29</x:v>
      </x:c>
      <x:c r="J753" t="str">
        <x:v>Cerrada</x:v>
      </x:c>
      <x:c r="K753" t="str">
        <x:v>Cambio de componente</x:v>
      </x:c>
    </x:row>
    <x:row r="754">
      <x:c r="A754" t="n">
        <x:v>753</x:v>
      </x:c>
      <x:c r="B754" t="str">
        <x:v>2026-09-29</x:v>
      </x:c>
      <x:c r="C754" t="str">
        <x:v>L3</x:v>
      </x:c>
      <x:c r="D754" t="str">
        <x:v>Empaque</x:v>
      </x:c>
      <x:c r="E754" t="str">
        <x:v>Matutino</x:v>
      </x:c>
      <x:c r="F754" t="str">
        <x:v>ELE</x:v>
      </x:c>
      <x:c r="G754" t="str">
        <x:v>Falla eléctrica</x:v>
      </x:c>
      <x:c r="H754" t="str">
        <x:v>Mantenimiento</x:v>
      </x:c>
      <x:c r="I754" t="n">
        <x:v>35</x:v>
      </x:c>
      <x:c r="J754" t="str">
        <x:v>Cerrada</x:v>
      </x:c>
      <x:c r="K754" t="str">
        <x:v>Reinicio controlado</x:v>
      </x:c>
    </x:row>
    <x:row r="755">
      <x:c r="A755" t="n">
        <x:v>754</x:v>
      </x:c>
      <x:c r="B755" t="str">
        <x:v>2026-09-29</x:v>
      </x:c>
      <x:c r="C755" t="str">
        <x:v>L4</x:v>
      </x:c>
      <x:c r="D755" t="str">
        <x:v>Etiquetado</x:v>
      </x:c>
      <x:c r="E755" t="str">
        <x:v>Matutino</x:v>
      </x:c>
      <x:c r="F755" t="str">
        <x:v>CAL</x:v>
      </x:c>
      <x:c r="G755" t="str">
        <x:v>Ajuste de calidad</x:v>
      </x:c>
      <x:c r="H755" t="str">
        <x:v>Calidad</x:v>
      </x:c>
      <x:c r="I755" t="n">
        <x:v>32</x:v>
      </x:c>
      <x:c r="J755" t="str">
        <x:v>Cerrada</x:v>
      </x:c>
      <x:c r="K755" t="str">
        <x:v>Abastecimiento</x:v>
      </x:c>
    </x:row>
    <x:row r="756">
      <x:c r="A756" t="n">
        <x:v>755</x:v>
      </x:c>
      <x:c r="B756" t="str">
        <x:v>2026-09-29</x:v>
      </x:c>
      <x:c r="C756" t="str">
        <x:v>L4</x:v>
      </x:c>
      <x:c r="D756" t="str">
        <x:v>Etiquetado</x:v>
      </x:c>
      <x:c r="E756" t="str">
        <x:v>Vespertino</x:v>
      </x:c>
      <x:c r="F756" t="str">
        <x:v>CAL</x:v>
      </x:c>
      <x:c r="G756" t="str">
        <x:v>Ajuste de calidad</x:v>
      </x:c>
      <x:c r="H756" t="str">
        <x:v>Calidad</x:v>
      </x:c>
      <x:c r="I756" t="n">
        <x:v>10</x:v>
      </x:c>
      <x:c r="J756" t="str">
        <x:v>Abierta</x:v>
      </x:c>
      <x:c r="K756" t="str">
        <x:v>Inspección y liberación</x:v>
      </x:c>
    </x:row>
    <x:row r="757">
      <x:c r="A757" t="n">
        <x:v>756</x:v>
      </x:c>
      <x:c r="B757" t="str">
        <x:v>2026-09-29</x:v>
      </x:c>
      <x:c r="C757" t="str">
        <x:v>L4</x:v>
      </x:c>
      <x:c r="D757" t="str">
        <x:v>Etiquetado</x:v>
      </x:c>
      <x:c r="E757" t="str">
        <x:v>Vespertino</x:v>
      </x:c>
      <x:c r="F757" t="str">
        <x:v>CAL</x:v>
      </x:c>
      <x:c r="G757" t="str">
        <x:v>Ajuste de calidad</x:v>
      </x:c>
      <x:c r="H757" t="str">
        <x:v>Calidad</x:v>
      </x:c>
      <x:c r="I757" t="n">
        <x:v>57</x:v>
      </x:c>
      <x:c r="J757" t="str">
        <x:v>Cerrada</x:v>
      </x:c>
      <x:c r="K757" t="str">
        <x:v>Cambio de componente</x:v>
      </x:c>
    </x:row>
    <x:row r="758">
      <x:c r="A758" t="n">
        <x:v>757</x:v>
      </x:c>
      <x:c r="B758" t="str">
        <x:v>2026-09-30</x:v>
      </x:c>
      <x:c r="C758" t="str">
        <x:v>L1</x:v>
      </x:c>
      <x:c r="D758" t="str">
        <x:v>Envasado A</x:v>
      </x:c>
      <x:c r="E758" t="str">
        <x:v>Matutino</x:v>
      </x:c>
      <x:c r="F758" t="str">
        <x:v>MAT</x:v>
      </x:c>
      <x:c r="G758" t="str">
        <x:v>Falta de material</x:v>
      </x:c>
      <x:c r="H758" t="str">
        <x:v>Logística</x:v>
      </x:c>
      <x:c r="I758" t="n">
        <x:v>36</x:v>
      </x:c>
      <x:c r="J758" t="str">
        <x:v>Abierta</x:v>
      </x:c>
      <x:c r="K758" t="str">
        <x:v>Reinicio controlado</x:v>
      </x:c>
    </x:row>
    <x:row r="759">
      <x:c r="A759" t="n">
        <x:v>758</x:v>
      </x:c>
      <x:c r="B759" t="str">
        <x:v>2026-09-30</x:v>
      </x:c>
      <x:c r="C759" t="str">
        <x:v>L1</x:v>
      </x:c>
      <x:c r="D759" t="str">
        <x:v>Envasado A</x:v>
      </x:c>
      <x:c r="E759" t="str">
        <x:v>Vespertino</x:v>
      </x:c>
      <x:c r="F759" t="str">
        <x:v>MEC</x:v>
      </x:c>
      <x:c r="G759" t="str">
        <x:v>Falla mecánica</x:v>
      </x:c>
      <x:c r="H759" t="str">
        <x:v>Mantenimiento</x:v>
      </x:c>
      <x:c r="I759" t="n">
        <x:v>59</x:v>
      </x:c>
      <x:c r="J759" t="str">
        <x:v>Cerrada</x:v>
      </x:c>
      <x:c r="K759" t="str">
        <x:v>Ajuste y prueba</x:v>
      </x:c>
    </x:row>
    <x:row r="760">
      <x:c r="A760" t="n">
        <x:v>759</x:v>
      </x:c>
      <x:c r="B760" t="str">
        <x:v>2026-09-30</x:v>
      </x:c>
      <x:c r="C760" t="str">
        <x:v>L2</x:v>
      </x:c>
      <x:c r="D760" t="str">
        <x:v>Envasado B</x:v>
      </x:c>
      <x:c r="E760" t="str">
        <x:v>Matutino</x:v>
      </x:c>
      <x:c r="F760" t="str">
        <x:v>MEC</x:v>
      </x:c>
      <x:c r="G760" t="str">
        <x:v>Falla mecánica</x:v>
      </x:c>
      <x:c r="H760" t="str">
        <x:v>Mantenimiento</x:v>
      </x:c>
      <x:c r="I760" t="n">
        <x:v>35</x:v>
      </x:c>
      <x:c r="J760" t="str">
        <x:v>Cerrada</x:v>
      </x:c>
      <x:c r="K760" t="str">
        <x:v>Abastecimiento</x:v>
      </x:c>
    </x:row>
    <x:row r="761">
      <x:c r="A761" t="n">
        <x:v>760</x:v>
      </x:c>
      <x:c r="B761" t="str">
        <x:v>2026-09-30</x:v>
      </x:c>
      <x:c r="C761" t="str">
        <x:v>L2</x:v>
      </x:c>
      <x:c r="D761" t="str">
        <x:v>Envasado B</x:v>
      </x:c>
      <x:c r="E761" t="str">
        <x:v>Matutino</x:v>
      </x:c>
      <x:c r="F761" t="str">
        <x:v>CAL</x:v>
      </x:c>
      <x:c r="G761" t="str">
        <x:v>Ajuste de calidad</x:v>
      </x:c>
      <x:c r="H761" t="str">
        <x:v>Calidad</x:v>
      </x:c>
      <x:c r="I761" t="n">
        <x:v>12</x:v>
      </x:c>
      <x:c r="J761" t="str">
        <x:v>Cerrada</x:v>
      </x:c>
      <x:c r="K761" t="str">
        <x:v>Reinicio controlado</x:v>
      </x:c>
    </x:row>
    <x:row r="762">
      <x:c r="A762" t="n">
        <x:v>761</x:v>
      </x:c>
      <x:c r="B762" t="str">
        <x:v>2026-09-30</x:v>
      </x:c>
      <x:c r="C762" t="str">
        <x:v>L2</x:v>
      </x:c>
      <x:c r="D762" t="str">
        <x:v>Envasado B</x:v>
      </x:c>
      <x:c r="E762" t="str">
        <x:v>Vespertino</x:v>
      </x:c>
      <x:c r="F762" t="str">
        <x:v>CAM</x:v>
      </x:c>
      <x:c r="G762" t="str">
        <x:v>Cambio de formato</x:v>
      </x:c>
      <x:c r="H762" t="str">
        <x:v>Producción</x:v>
      </x:c>
      <x:c r="I762" t="n">
        <x:v>20</x:v>
      </x:c>
      <x:c r="J762" t="str">
        <x:v>Cerrada</x:v>
      </x:c>
      <x:c r="K762" t="str">
        <x:v>Inspección y liberación</x:v>
      </x:c>
    </x:row>
    <x:row r="763">
      <x:c r="A763" t="n">
        <x:v>762</x:v>
      </x:c>
      <x:c r="B763" t="str">
        <x:v>2026-09-30</x:v>
      </x:c>
      <x:c r="C763" t="str">
        <x:v>L2</x:v>
      </x:c>
      <x:c r="D763" t="str">
        <x:v>Envasado B</x:v>
      </x:c>
      <x:c r="E763" t="str">
        <x:v>Vespertino</x:v>
      </x:c>
      <x:c r="F763" t="str">
        <x:v>ELE</x:v>
      </x:c>
      <x:c r="G763" t="str">
        <x:v>Falla eléctrica</x:v>
      </x:c>
      <x:c r="H763" t="str">
        <x:v>Mantenimiento</x:v>
      </x:c>
      <x:c r="I763" t="n">
        <x:v>14</x:v>
      </x:c>
      <x:c r="J763" t="str">
        <x:v>Cerrada</x:v>
      </x:c>
      <x:c r="K763" t="str">
        <x:v>Cambio de componente</x:v>
      </x:c>
    </x:row>
    <x:row r="764">
      <x:c r="A764" t="n">
        <x:v>763</x:v>
      </x:c>
      <x:c r="B764" t="str">
        <x:v>2026-09-30</x:v>
      </x:c>
      <x:c r="C764" t="str">
        <x:v>L2</x:v>
      </x:c>
      <x:c r="D764" t="str">
        <x:v>Envasado B</x:v>
      </x:c>
      <x:c r="E764" t="str">
        <x:v>Vespertino</x:v>
      </x:c>
      <x:c r="F764" t="str">
        <x:v>ELE</x:v>
      </x:c>
      <x:c r="G764" t="str">
        <x:v>Falla eléctrica</x:v>
      </x:c>
      <x:c r="H764" t="str">
        <x:v>Mantenimiento</x:v>
      </x:c>
      <x:c r="I764" t="n">
        <x:v>13</x:v>
      </x:c>
      <x:c r="J764" t="str">
        <x:v>Cerrada</x:v>
      </x:c>
      <x:c r="K764" t="str">
        <x:v>Reinicio controlado</x:v>
      </x:c>
    </x:row>
    <x:row r="765">
      <x:c r="A765" t="n">
        <x:v>764</x:v>
      </x:c>
      <x:c r="B765" t="str">
        <x:v>2026-09-30</x:v>
      </x:c>
      <x:c r="C765" t="str">
        <x:v>L3</x:v>
      </x:c>
      <x:c r="D765" t="str">
        <x:v>Empaque</x:v>
      </x:c>
      <x:c r="E765" t="str">
        <x:v>Matutino</x:v>
      </x:c>
      <x:c r="F765" t="str">
        <x:v>CAM</x:v>
      </x:c>
      <x:c r="G765" t="str">
        <x:v>Cambio de formato</x:v>
      </x:c>
      <x:c r="H765" t="str">
        <x:v>Producción</x:v>
      </x:c>
      <x:c r="I765" t="n">
        <x:v>32</x:v>
      </x:c>
      <x:c r="J765" t="str">
        <x:v>Cerrada</x:v>
      </x:c>
      <x:c r="K765" t="str">
        <x:v>Reinicio controlado</x:v>
      </x:c>
    </x:row>
    <x:row r="766">
      <x:c r="A766" t="n">
        <x:v>765</x:v>
      </x:c>
      <x:c r="B766" t="str">
        <x:v>2026-09-30</x:v>
      </x:c>
      <x:c r="C766" t="str">
        <x:v>L3</x:v>
      </x:c>
      <x:c r="D766" t="str">
        <x:v>Empaque</x:v>
      </x:c>
      <x:c r="E766" t="str">
        <x:v>Vespertino</x:v>
      </x:c>
      <x:c r="F766" t="str">
        <x:v>ELE</x:v>
      </x:c>
      <x:c r="G766" t="str">
        <x:v>Falla eléctrica</x:v>
      </x:c>
      <x:c r="H766" t="str">
        <x:v>Mantenimiento</x:v>
      </x:c>
      <x:c r="I766" t="n">
        <x:v>12</x:v>
      </x:c>
      <x:c r="J766" t="str">
        <x:v>Cerrada</x:v>
      </x:c>
      <x:c r="K766" t="str">
        <x:v>Ajuste y prueba</x:v>
      </x:c>
    </x:row>
    <x:row r="767">
      <x:c r="A767" t="n">
        <x:v>766</x:v>
      </x:c>
      <x:c r="B767" t="str">
        <x:v>2026-09-30</x:v>
      </x:c>
      <x:c r="C767" t="str">
        <x:v>L4</x:v>
      </x:c>
      <x:c r="D767" t="str">
        <x:v>Etiquetado</x:v>
      </x:c>
      <x:c r="E767" t="str">
        <x:v>Matutino</x:v>
      </x:c>
      <x:c r="F767" t="str">
        <x:v>MEC</x:v>
      </x:c>
      <x:c r="G767" t="str">
        <x:v>Falla mecánica</x:v>
      </x:c>
      <x:c r="H767" t="str">
        <x:v>Mantenimiento</x:v>
      </x:c>
      <x:c r="I767" t="n">
        <x:v>32</x:v>
      </x:c>
      <x:c r="J767" t="str">
        <x:v>Abierta</x:v>
      </x:c>
      <x:c r="K767" t="str">
        <x:v>Cambio de componente</x:v>
      </x:c>
    </x:row>
    <x:row r="768">
      <x:c r="A768" t="n">
        <x:v>767</x:v>
      </x:c>
      <x:c r="B768" t="str">
        <x:v>2026-09-30</x:v>
      </x:c>
      <x:c r="C768" t="str">
        <x:v>L4</x:v>
      </x:c>
      <x:c r="D768" t="str">
        <x:v>Etiquetado</x:v>
      </x:c>
      <x:c r="E768" t="str">
        <x:v>Vespertino</x:v>
      </x:c>
      <x:c r="F768" t="str">
        <x:v>CAM</x:v>
      </x:c>
      <x:c r="G768" t="str">
        <x:v>Cambio de formato</x:v>
      </x:c>
      <x:c r="H768" t="str">
        <x:v>Producción</x:v>
      </x:c>
      <x:c r="I768" t="n">
        <x:v>6</x:v>
      </x:c>
      <x:c r="J768" t="str">
        <x:v>Cerrada</x:v>
      </x:c>
      <x:c r="K768" t="str">
        <x:v>Cambio de componente</x:v>
      </x:c>
    </x:row>
  </x:sheetData>
  <x:pageMargins left="0.7" right="0.7" top="0.75" bottom="0.75" header="0.3" footer="0.3"/>
  <x:tableParts count="1">
    <x:tablePart xmlns:r="http://schemas.openxmlformats.org/officeDocument/2006/relationships" r:id="R1644299ac5444f6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3" hidden="0" customWidth="1"/>
    <x:col min="7" max="7" width="10" hidden="0" customWidth="1"/>
    <x:col min="8" max="8" width="14" hidden="0" customWidth="1"/>
    <x:col min="9" max="9" width="10" hidden="0" customWidth="1"/>
    <x:col min="10" max="10" width="10" hidden="0" customWidth="1"/>
    <x:col min="11" max="11" width="11" hidden="0" customWidth="1"/>
  </x:cols>
  <x:sheetData>
    <x:row r="1">
      <x:c r="A1" s="10" t="str">
        <x:v>id</x:v>
      </x:c>
      <x:c r="B1" s="10" t="str">
        <x:v>fecha</x:v>
      </x:c>
      <x:c r="C1" s="10" t="str">
        <x:v>linea_id</x:v>
      </x:c>
      <x:c r="D1" s="10" t="str">
        <x:v>linea</x:v>
      </x:c>
      <x:c r="E1" s="10" t="str">
        <x:v>tipo</x:v>
      </x:c>
      <x:c r="F1" s="10" t="str">
        <x:v>descripcion</x:v>
      </x:c>
      <x:c r="G1" s="10" t="str">
        <x:v>planeado</x:v>
      </x:c>
      <x:c r="H1" s="10" t="str">
        <x:v>duracion_min</x:v>
      </x:c>
      <x:c r="I1" s="10" t="str">
        <x:v>estatus</x:v>
      </x:c>
      <x:c r="J1" s="10" t="str">
        <x:v>tecnico</x:v>
      </x:c>
      <x:c r="K1" s="10" t="str">
        <x:v>costo_mxn</x:v>
      </x:c>
    </x:row>
    <x:row r="2">
      <x:c r="A2" s="11" t="n">
        <x:v>1</x:v>
      </x:c>
      <x:c r="B2" s="11" t="str">
        <x:v>2026-07-01</x:v>
      </x:c>
      <x:c r="C2" s="11" t="str">
        <x:v>L2</x:v>
      </x:c>
      <x:c r="D2" s="11" t="str">
        <x:v>Envasado B</x:v>
      </x:c>
      <x:c r="E2" s="11" t="str">
        <x:v>Predictivo</x:v>
      </x:c>
      <x:c r="F2" s="11" t="str">
        <x:v>Análisis de vibración</x:v>
      </x:c>
      <x:c r="G2" s="16" t="b">
        <x:v>1</x:v>
      </x:c>
      <x:c r="H2" s="11" t="n">
        <x:v>131</x:v>
      </x:c>
      <x:c r="I2" s="11" t="str">
        <x:v>En proceso</x:v>
      </x:c>
      <x:c r="J2" s="11" t="str">
        <x:v>Tec. C</x:v>
      </x:c>
      <x:c r="K2" s="11" t="n">
        <x:v>4196.85</x:v>
      </x:c>
    </x:row>
    <x:row r="3">
      <x:c r="A3" s="11" t="n">
        <x:v>2</x:v>
      </x:c>
      <x:c r="B3" s="11" t="str">
        <x:v>2026-07-03</x:v>
      </x:c>
      <x:c r="C3" s="11" t="str">
        <x:v>L2</x:v>
      </x:c>
      <x:c r="D3" s="11" t="str">
        <x:v>Envasado B</x:v>
      </x:c>
      <x:c r="E3" s="11" t="str">
        <x:v>Predictivo</x:v>
      </x:c>
      <x:c r="F3" s="11" t="str">
        <x:v>Revisión eléctrica</x:v>
      </x:c>
      <x:c r="G3" s="16" t="b">
        <x:v>1</x:v>
      </x:c>
      <x:c r="H3" s="11" t="n">
        <x:v>133</x:v>
      </x:c>
      <x:c r="I3" s="11" t="str">
        <x:v>En proceso</x:v>
      </x:c>
      <x:c r="J3" s="11" t="str">
        <x:v>Tec. B</x:v>
      </x:c>
      <x:c r="K3" s="11" t="n">
        <x:v>1131.97</x:v>
      </x:c>
    </x:row>
    <x:row r="4">
      <x:c r="A4" s="11" t="n">
        <x:v>3</x:v>
      </x:c>
      <x:c r="B4" s="11" t="str">
        <x:v>2026-07-03</x:v>
      </x:c>
      <x:c r="C4" s="11" t="str">
        <x:v>L4</x:v>
      </x:c>
      <x:c r="D4" s="11" t="str">
        <x:v>Etiquetado</x:v>
      </x:c>
      <x:c r="E4" s="11" t="str">
        <x:v>Correctivo</x:v>
      </x:c>
      <x:c r="F4" s="11" t="str">
        <x:v>Alineación y ajuste</x:v>
      </x:c>
      <x:c r="G4" s="16" t="b">
        <x:v>0</x:v>
      </x:c>
      <x:c r="H4" s="11" t="n">
        <x:v>199</x:v>
      </x:c>
      <x:c r="I4" s="11" t="str">
        <x:v>Cerrada</x:v>
      </x:c>
      <x:c r="J4" s="11" t="str">
        <x:v>Tec. B</x:v>
      </x:c>
      <x:c r="K4" s="11" t="n">
        <x:v>3833.6</x:v>
      </x:c>
    </x:row>
    <x:row r="5">
      <x:c r="A5" s="11" t="n">
        <x:v>4</x:v>
      </x:c>
      <x:c r="B5" s="11" t="str">
        <x:v>2026-07-05</x:v>
      </x:c>
      <x:c r="C5" s="11" t="str">
        <x:v>L3</x:v>
      </x:c>
      <x:c r="D5" s="11" t="str">
        <x:v>Empaque</x:v>
      </x:c>
      <x:c r="E5" s="11" t="str">
        <x:v>Correctivo</x:v>
      </x:c>
      <x:c r="F5" s="11" t="str">
        <x:v>Inspección general</x:v>
      </x:c>
      <x:c r="G5" s="16" t="b">
        <x:v>0</x:v>
      </x:c>
      <x:c r="H5" s="11" t="n">
        <x:v>184</x:v>
      </x:c>
      <x:c r="I5" s="11" t="str">
        <x:v>Cerrada</x:v>
      </x:c>
      <x:c r="J5" s="11" t="str">
        <x:v>Tec. A</x:v>
      </x:c>
      <x:c r="K5" s="11" t="n">
        <x:v>2621.45</x:v>
      </x:c>
    </x:row>
    <x:row r="6">
      <x:c r="A6" s="11" t="n">
        <x:v>5</x:v>
      </x:c>
      <x:c r="B6" s="11" t="str">
        <x:v>2026-07-07</x:v>
      </x:c>
      <x:c r="C6" s="11" t="str">
        <x:v>L3</x:v>
      </x:c>
      <x:c r="D6" s="11" t="str">
        <x:v>Empaque</x:v>
      </x:c>
      <x:c r="E6" s="11" t="str">
        <x:v>Predictivo</x:v>
      </x:c>
      <x:c r="F6" s="11" t="str">
        <x:v>Lubricación</x:v>
      </x:c>
      <x:c r="G6" s="16" t="b">
        <x:v>1</x:v>
      </x:c>
      <x:c r="H6" s="11" t="n">
        <x:v>148</x:v>
      </x:c>
      <x:c r="I6" s="11" t="str">
        <x:v>Cerrada</x:v>
      </x:c>
      <x:c r="J6" s="11" t="str">
        <x:v>Tec. C</x:v>
      </x:c>
      <x:c r="K6" s="11" t="n">
        <x:v>3331.13</x:v>
      </x:c>
    </x:row>
    <x:row r="7">
      <x:c r="A7" s="11" t="n">
        <x:v>6</x:v>
      </x:c>
      <x:c r="B7" s="11" t="str">
        <x:v>2026-07-07</x:v>
      </x:c>
      <x:c r="C7" s="11" t="str">
        <x:v>L1</x:v>
      </x:c>
      <x:c r="D7" s="11" t="str">
        <x:v>Envasado A</x:v>
      </x:c>
      <x:c r="E7" s="11" t="str">
        <x:v>Correctivo</x:v>
      </x:c>
      <x:c r="F7" s="11" t="str">
        <x:v>Alineación y ajuste</x:v>
      </x:c>
      <x:c r="G7" s="16" t="b">
        <x:v>0</x:v>
      </x:c>
      <x:c r="H7" s="11" t="n">
        <x:v>164</x:v>
      </x:c>
      <x:c r="I7" s="11" t="str">
        <x:v>Cerrada</x:v>
      </x:c>
      <x:c r="J7" s="11" t="str">
        <x:v>Tec. C</x:v>
      </x:c>
      <x:c r="K7" s="11" t="n">
        <x:v>534.74</x:v>
      </x:c>
    </x:row>
    <x:row r="8">
      <x:c r="A8" s="11" t="n">
        <x:v>7</x:v>
      </x:c>
      <x:c r="B8" s="11" t="str">
        <x:v>2026-07-09</x:v>
      </x:c>
      <x:c r="C8" s="11" t="str">
        <x:v>L1</x:v>
      </x:c>
      <x:c r="D8" s="11" t="str">
        <x:v>Envasado A</x:v>
      </x:c>
      <x:c r="E8" s="11" t="str">
        <x:v>Predictivo</x:v>
      </x:c>
      <x:c r="F8" s="11" t="str">
        <x:v>Alineación y ajuste</x:v>
      </x:c>
      <x:c r="G8" s="16" t="b">
        <x:v>1</x:v>
      </x:c>
      <x:c r="H8" s="11" t="n">
        <x:v>163</x:v>
      </x:c>
      <x:c r="I8" s="11" t="str">
        <x:v>Cerrada</x:v>
      </x:c>
      <x:c r="J8" s="11" t="str">
        <x:v>Tec. A</x:v>
      </x:c>
      <x:c r="K8" s="11" t="n">
        <x:v>4080.6</x:v>
      </x:c>
    </x:row>
    <x:row r="9">
      <x:c r="A9" s="11" t="n">
        <x:v>8</x:v>
      </x:c>
      <x:c r="B9" s="11" t="str">
        <x:v>2026-07-11</x:v>
      </x:c>
      <x:c r="C9" s="11" t="str">
        <x:v>L1</x:v>
      </x:c>
      <x:c r="D9" s="11" t="str">
        <x:v>Envasado A</x:v>
      </x:c>
      <x:c r="E9" s="11" t="str">
        <x:v>Correctivo</x:v>
      </x:c>
      <x:c r="F9" s="11" t="str">
        <x:v>Alineación y ajuste</x:v>
      </x:c>
      <x:c r="G9" s="16" t="b">
        <x:v>0</x:v>
      </x:c>
      <x:c r="H9" s="11" t="n">
        <x:v>176</x:v>
      </x:c>
      <x:c r="I9" s="11" t="str">
        <x:v>En proceso</x:v>
      </x:c>
      <x:c r="J9" s="11" t="str">
        <x:v>Tec. C</x:v>
      </x:c>
      <x:c r="K9" s="11" t="n">
        <x:v>1592.09</x:v>
      </x:c>
    </x:row>
    <x:row r="10">
      <x:c r="A10" s="11" t="n">
        <x:v>9</x:v>
      </x:c>
      <x:c r="B10" s="11" t="str">
        <x:v>2026-07-11</x:v>
      </x:c>
      <x:c r="C10" s="11" t="str">
        <x:v>L2</x:v>
      </x:c>
      <x:c r="D10" s="11" t="str">
        <x:v>Envasado B</x:v>
      </x:c>
      <x:c r="E10" s="11" t="str">
        <x:v>Correctivo</x:v>
      </x:c>
      <x:c r="F10" s="11" t="str">
        <x:v>Lubricación</x:v>
      </x:c>
      <x:c r="G10" s="16" t="b">
        <x:v>0</x:v>
      </x:c>
      <x:c r="H10" s="11" t="n">
        <x:v>120</x:v>
      </x:c>
      <x:c r="I10" s="11" t="str">
        <x:v>Cerrada</x:v>
      </x:c>
      <x:c r="J10" s="11" t="str">
        <x:v>Tec. A</x:v>
      </x:c>
      <x:c r="K10" s="11" t="n">
        <x:v>3173.47</x:v>
      </x:c>
    </x:row>
    <x:row r="11">
      <x:c r="A11" s="11" t="n">
        <x:v>10</x:v>
      </x:c>
      <x:c r="B11" s="11" t="str">
        <x:v>2026-07-13</x:v>
      </x:c>
      <x:c r="C11" s="11" t="str">
        <x:v>L3</x:v>
      </x:c>
      <x:c r="D11" s="11" t="str">
        <x:v>Empaque</x:v>
      </x:c>
      <x:c r="E11" s="11" t="str">
        <x:v>Predictivo</x:v>
      </x:c>
      <x:c r="F11" s="11" t="str">
        <x:v>Análisis de vibración</x:v>
      </x:c>
      <x:c r="G11" s="16" t="b">
        <x:v>1</x:v>
      </x:c>
      <x:c r="H11" s="11" t="n">
        <x:v>91</x:v>
      </x:c>
      <x:c r="I11" s="11" t="str">
        <x:v>Cerrada</x:v>
      </x:c>
      <x:c r="J11" s="11" t="str">
        <x:v>Tec. B</x:v>
      </x:c>
      <x:c r="K11" s="11" t="n">
        <x:v>2664.91</x:v>
      </x:c>
    </x:row>
    <x:row r="12">
      <x:c r="A12" s="11" t="n">
        <x:v>11</x:v>
      </x:c>
      <x:c r="B12" s="11" t="str">
        <x:v>2026-07-13</x:v>
      </x:c>
      <x:c r="C12" s="11" t="str">
        <x:v>L4</x:v>
      </x:c>
      <x:c r="D12" s="11" t="str">
        <x:v>Etiquetado</x:v>
      </x:c>
      <x:c r="E12" s="11" t="str">
        <x:v>Predictivo</x:v>
      </x:c>
      <x:c r="F12" s="11" t="str">
        <x:v>Análisis de vibración</x:v>
      </x:c>
      <x:c r="G12" s="16" t="b">
        <x:v>1</x:v>
      </x:c>
      <x:c r="H12" s="11" t="n">
        <x:v>38</x:v>
      </x:c>
      <x:c r="I12" s="11" t="str">
        <x:v>Cerrada</x:v>
      </x:c>
      <x:c r="J12" s="11" t="str">
        <x:v>Tec. C</x:v>
      </x:c>
      <x:c r="K12" s="11" t="n">
        <x:v>268.75</x:v>
      </x:c>
    </x:row>
    <x:row r="13">
      <x:c r="A13" s="11" t="n">
        <x:v>12</x:v>
      </x:c>
      <x:c r="B13" s="11" t="str">
        <x:v>2026-07-15</x:v>
      </x:c>
      <x:c r="C13" s="11" t="str">
        <x:v>L1</x:v>
      </x:c>
      <x:c r="D13" s="11" t="str">
        <x:v>Envasado A</x:v>
      </x:c>
      <x:c r="E13" s="11" t="str">
        <x:v>Preventivo</x:v>
      </x:c>
      <x:c r="F13" s="11" t="str">
        <x:v>Cambio de rodamiento</x:v>
      </x:c>
      <x:c r="G13" s="16" t="b">
        <x:v>1</x:v>
      </x:c>
      <x:c r="H13" s="11" t="n">
        <x:v>154</x:v>
      </x:c>
      <x:c r="I13" s="11" t="str">
        <x:v>Cerrada</x:v>
      </x:c>
      <x:c r="J13" s="11" t="str">
        <x:v>Tec. B</x:v>
      </x:c>
      <x:c r="K13" s="11" t="n">
        <x:v>726.54</x:v>
      </x:c>
    </x:row>
    <x:row r="14">
      <x:c r="A14" s="11" t="n">
        <x:v>13</x:v>
      </x:c>
      <x:c r="B14" s="11" t="str">
        <x:v>2026-07-17</x:v>
      </x:c>
      <x:c r="C14" s="11" t="str">
        <x:v>L3</x:v>
      </x:c>
      <x:c r="D14" s="11" t="str">
        <x:v>Empaque</x:v>
      </x:c>
      <x:c r="E14" s="11" t="str">
        <x:v>Correctivo</x:v>
      </x:c>
      <x:c r="F14" s="11" t="str">
        <x:v>Alineación y ajuste</x:v>
      </x:c>
      <x:c r="G14" s="16" t="b">
        <x:v>0</x:v>
      </x:c>
      <x:c r="H14" s="11" t="n">
        <x:v>48</x:v>
      </x:c>
      <x:c r="I14" s="11" t="str">
        <x:v>Cerrada</x:v>
      </x:c>
      <x:c r="J14" s="11" t="str">
        <x:v>Tec. A</x:v>
      </x:c>
      <x:c r="K14" s="11" t="n">
        <x:v>4109.07</x:v>
      </x:c>
    </x:row>
    <x:row r="15">
      <x:c r="A15" s="11" t="n">
        <x:v>14</x:v>
      </x:c>
      <x:c r="B15" s="11" t="str">
        <x:v>2026-07-19</x:v>
      </x:c>
      <x:c r="C15" s="11" t="str">
        <x:v>L2</x:v>
      </x:c>
      <x:c r="D15" s="11" t="str">
        <x:v>Envasado B</x:v>
      </x:c>
      <x:c r="E15" s="11" t="str">
        <x:v>Correctivo</x:v>
      </x:c>
      <x:c r="F15" s="11" t="str">
        <x:v>Cambio de rodamiento</x:v>
      </x:c>
      <x:c r="G15" s="16" t="b">
        <x:v>0</x:v>
      </x:c>
      <x:c r="H15" s="11" t="n">
        <x:v>139</x:v>
      </x:c>
      <x:c r="I15" s="11" t="str">
        <x:v>Cerrada</x:v>
      </x:c>
      <x:c r="J15" s="11" t="str">
        <x:v>Tec. C</x:v>
      </x:c>
      <x:c r="K15" s="11" t="n">
        <x:v>1177.45</x:v>
      </x:c>
    </x:row>
    <x:row r="16">
      <x:c r="A16" s="11" t="n">
        <x:v>15</x:v>
      </x:c>
      <x:c r="B16" s="11" t="str">
        <x:v>2026-07-19</x:v>
      </x:c>
      <x:c r="C16" s="11" t="str">
        <x:v>L3</x:v>
      </x:c>
      <x:c r="D16" s="11" t="str">
        <x:v>Empaque</x:v>
      </x:c>
      <x:c r="E16" s="11" t="str">
        <x:v>Preventivo</x:v>
      </x:c>
      <x:c r="F16" s="11" t="str">
        <x:v>Cambio de rodamiento</x:v>
      </x:c>
      <x:c r="G16" s="16" t="b">
        <x:v>1</x:v>
      </x:c>
      <x:c r="H16" s="11" t="n">
        <x:v>160</x:v>
      </x:c>
      <x:c r="I16" s="11" t="str">
        <x:v>Cerrada</x:v>
      </x:c>
      <x:c r="J16" s="11" t="str">
        <x:v>Tec. A</x:v>
      </x:c>
      <x:c r="K16" s="11" t="n">
        <x:v>4357.95</x:v>
      </x:c>
    </x:row>
    <x:row r="17">
      <x:c r="A17" s="11" t="n">
        <x:v>16</x:v>
      </x:c>
      <x:c r="B17" s="11" t="str">
        <x:v>2026-07-21</x:v>
      </x:c>
      <x:c r="C17" s="11" t="str">
        <x:v>L2</x:v>
      </x:c>
      <x:c r="D17" s="11" t="str">
        <x:v>Envasado B</x:v>
      </x:c>
      <x:c r="E17" s="11" t="str">
        <x:v>Correctivo</x:v>
      </x:c>
      <x:c r="F17" s="11" t="str">
        <x:v>Análisis de vibración</x:v>
      </x:c>
      <x:c r="G17" s="16" t="b">
        <x:v>0</x:v>
      </x:c>
      <x:c r="H17" s="11" t="n">
        <x:v>143</x:v>
      </x:c>
      <x:c r="I17" s="11" t="str">
        <x:v>Cerrada</x:v>
      </x:c>
      <x:c r="J17" s="11" t="str">
        <x:v>Tec. B</x:v>
      </x:c>
      <x:c r="K17" s="11" t="n">
        <x:v>3308.1</x:v>
      </x:c>
    </x:row>
    <x:row r="18">
      <x:c r="A18" s="11" t="n">
        <x:v>17</x:v>
      </x:c>
      <x:c r="B18" s="11" t="str">
        <x:v>2026-07-21</x:v>
      </x:c>
      <x:c r="C18" s="11" t="str">
        <x:v>L4</x:v>
      </x:c>
      <x:c r="D18" s="11" t="str">
        <x:v>Etiquetado</x:v>
      </x:c>
      <x:c r="E18" s="11" t="str">
        <x:v>Preventivo</x:v>
      </x:c>
      <x:c r="F18" s="11" t="str">
        <x:v>Inspección general</x:v>
      </x:c>
      <x:c r="G18" s="16" t="b">
        <x:v>1</x:v>
      </x:c>
      <x:c r="H18" s="11" t="n">
        <x:v>78</x:v>
      </x:c>
      <x:c r="I18" s="11" t="str">
        <x:v>Cerrada</x:v>
      </x:c>
      <x:c r="J18" s="11" t="str">
        <x:v>Tec. C</x:v>
      </x:c>
      <x:c r="K18" s="11" t="n">
        <x:v>1300.12</x:v>
      </x:c>
    </x:row>
    <x:row r="19">
      <x:c r="A19" s="11" t="n">
        <x:v>18</x:v>
      </x:c>
      <x:c r="B19" s="11" t="str">
        <x:v>2026-07-23</x:v>
      </x:c>
      <x:c r="C19" s="11" t="str">
        <x:v>L1</x:v>
      </x:c>
      <x:c r="D19" s="11" t="str">
        <x:v>Envasado A</x:v>
      </x:c>
      <x:c r="E19" s="11" t="str">
        <x:v>Preventivo</x:v>
      </x:c>
      <x:c r="F19" s="11" t="str">
        <x:v>Revisión eléctrica</x:v>
      </x:c>
      <x:c r="G19" s="16" t="b">
        <x:v>1</x:v>
      </x:c>
      <x:c r="H19" s="11" t="n">
        <x:v>143</x:v>
      </x:c>
      <x:c r="I19" s="11" t="str">
        <x:v>En proceso</x:v>
      </x:c>
      <x:c r="J19" s="11" t="str">
        <x:v>Tec. B</x:v>
      </x:c>
      <x:c r="K19" s="11" t="n">
        <x:v>2221.76</x:v>
      </x:c>
    </x:row>
    <x:row r="20">
      <x:c r="A20" s="11" t="n">
        <x:v>19</x:v>
      </x:c>
      <x:c r="B20" s="11" t="str">
        <x:v>2026-07-25</x:v>
      </x:c>
      <x:c r="C20" s="11" t="str">
        <x:v>L2</x:v>
      </x:c>
      <x:c r="D20" s="11" t="str">
        <x:v>Envasado B</x:v>
      </x:c>
      <x:c r="E20" s="11" t="str">
        <x:v>Predictivo</x:v>
      </x:c>
      <x:c r="F20" s="11" t="str">
        <x:v>Cambio de rodamiento</x:v>
      </x:c>
      <x:c r="G20" s="16" t="b">
        <x:v>1</x:v>
      </x:c>
      <x:c r="H20" s="11" t="n">
        <x:v>124</x:v>
      </x:c>
      <x:c r="I20" s="11" t="str">
        <x:v>En proceso</x:v>
      </x:c>
      <x:c r="J20" s="11" t="str">
        <x:v>Tec. A</x:v>
      </x:c>
      <x:c r="K20" s="11" t="n">
        <x:v>2457.42</x:v>
      </x:c>
    </x:row>
    <x:row r="21">
      <x:c r="A21" s="11" t="n">
        <x:v>20</x:v>
      </x:c>
      <x:c r="B21" s="11" t="str">
        <x:v>2026-07-25</x:v>
      </x:c>
      <x:c r="C21" s="11" t="str">
        <x:v>L4</x:v>
      </x:c>
      <x:c r="D21" s="11" t="str">
        <x:v>Etiquetado</x:v>
      </x:c>
      <x:c r="E21" s="11" t="str">
        <x:v>Correctivo</x:v>
      </x:c>
      <x:c r="F21" s="11" t="str">
        <x:v>Revisión eléctrica</x:v>
      </x:c>
      <x:c r="G21" s="16" t="b">
        <x:v>0</x:v>
      </x:c>
      <x:c r="H21" s="11" t="n">
        <x:v>48</x:v>
      </x:c>
      <x:c r="I21" s="11" t="str">
        <x:v>Cerrada</x:v>
      </x:c>
      <x:c r="J21" s="11" t="str">
        <x:v>Tec. B</x:v>
      </x:c>
      <x:c r="K21" s="11" t="n">
        <x:v>3101.45</x:v>
      </x:c>
    </x:row>
    <x:row r="22">
      <x:c r="A22" s="11" t="n">
        <x:v>21</x:v>
      </x:c>
      <x:c r="B22" s="11" t="str">
        <x:v>2026-07-27</x:v>
      </x:c>
      <x:c r="C22" s="11" t="str">
        <x:v>L1</x:v>
      </x:c>
      <x:c r="D22" s="11" t="str">
        <x:v>Envasado A</x:v>
      </x:c>
      <x:c r="E22" s="11" t="str">
        <x:v>Predictivo</x:v>
      </x:c>
      <x:c r="F22" s="11" t="str">
        <x:v>Alineación y ajuste</x:v>
      </x:c>
      <x:c r="G22" s="16" t="b">
        <x:v>1</x:v>
      </x:c>
      <x:c r="H22" s="11" t="n">
        <x:v>115</x:v>
      </x:c>
      <x:c r="I22" s="11" t="str">
        <x:v>En proceso</x:v>
      </x:c>
      <x:c r="J22" s="11" t="str">
        <x:v>Tec. C</x:v>
      </x:c>
      <x:c r="K22" s="11" t="n">
        <x:v>3883.85</x:v>
      </x:c>
    </x:row>
    <x:row r="23">
      <x:c r="A23" s="11" t="n">
        <x:v>22</x:v>
      </x:c>
      <x:c r="B23" s="11" t="str">
        <x:v>2026-07-27</x:v>
      </x:c>
      <x:c r="C23" s="11" t="str">
        <x:v>L4</x:v>
      </x:c>
      <x:c r="D23" s="11" t="str">
        <x:v>Etiquetado</x:v>
      </x:c>
      <x:c r="E23" s="11" t="str">
        <x:v>Correctivo</x:v>
      </x:c>
      <x:c r="F23" s="11" t="str">
        <x:v>Inspección general</x:v>
      </x:c>
      <x:c r="G23" s="16" t="b">
        <x:v>0</x:v>
      </x:c>
      <x:c r="H23" s="11" t="n">
        <x:v>114</x:v>
      </x:c>
      <x:c r="I23" s="11" t="str">
        <x:v>Cerrada</x:v>
      </x:c>
      <x:c r="J23" s="11" t="str">
        <x:v>Tec. B</x:v>
      </x:c>
      <x:c r="K23" s="11" t="n">
        <x:v>2996.39</x:v>
      </x:c>
    </x:row>
    <x:row r="24">
      <x:c r="A24" s="11" t="n">
        <x:v>23</x:v>
      </x:c>
      <x:c r="B24" s="11" t="str">
        <x:v>2026-07-29</x:v>
      </x:c>
      <x:c r="C24" s="11" t="str">
        <x:v>L4</x:v>
      </x:c>
      <x:c r="D24" s="11" t="str">
        <x:v>Etiquetado</x:v>
      </x:c>
      <x:c r="E24" s="11" t="str">
        <x:v>Predictivo</x:v>
      </x:c>
      <x:c r="F24" s="11" t="str">
        <x:v>Alineación y ajuste</x:v>
      </x:c>
      <x:c r="G24" s="16" t="b">
        <x:v>1</x:v>
      </x:c>
      <x:c r="H24" s="11" t="n">
        <x:v>86</x:v>
      </x:c>
      <x:c r="I24" s="11" t="str">
        <x:v>Cerrada</x:v>
      </x:c>
      <x:c r="J24" s="11" t="str">
        <x:v>Tec. B</x:v>
      </x:c>
      <x:c r="K24" s="11" t="n">
        <x:v>3098.07</x:v>
      </x:c>
    </x:row>
    <x:row r="25">
      <x:c r="A25" s="11" t="n">
        <x:v>24</x:v>
      </x:c>
      <x:c r="B25" s="11" t="str">
        <x:v>2026-07-31</x:v>
      </x:c>
      <x:c r="C25" s="11" t="str">
        <x:v>L3</x:v>
      </x:c>
      <x:c r="D25" s="11" t="str">
        <x:v>Empaque</x:v>
      </x:c>
      <x:c r="E25" s="11" t="str">
        <x:v>Predictivo</x:v>
      </x:c>
      <x:c r="F25" s="11" t="str">
        <x:v>Inspección general</x:v>
      </x:c>
      <x:c r="G25" s="16" t="b">
        <x:v>1</x:v>
      </x:c>
      <x:c r="H25" s="11" t="n">
        <x:v>27</x:v>
      </x:c>
      <x:c r="I25" s="11" t="str">
        <x:v>Cerrada</x:v>
      </x:c>
      <x:c r="J25" s="11" t="str">
        <x:v>Tec. A</x:v>
      </x:c>
      <x:c r="K25" s="11" t="n">
        <x:v>1938.93</x:v>
      </x:c>
    </x:row>
    <x:row r="26">
      <x:c r="A26" s="11" t="n">
        <x:v>25</x:v>
      </x:c>
      <x:c r="B26" s="11" t="str">
        <x:v>2026-08-02</x:v>
      </x:c>
      <x:c r="C26" s="11" t="str">
        <x:v>L1</x:v>
      </x:c>
      <x:c r="D26" s="11" t="str">
        <x:v>Envasado A</x:v>
      </x:c>
      <x:c r="E26" s="11" t="str">
        <x:v>Correctivo</x:v>
      </x:c>
      <x:c r="F26" s="11" t="str">
        <x:v>Análisis de vibración</x:v>
      </x:c>
      <x:c r="G26" s="16" t="b">
        <x:v>0</x:v>
      </x:c>
      <x:c r="H26" s="11" t="n">
        <x:v>134</x:v>
      </x:c>
      <x:c r="I26" s="11" t="str">
        <x:v>Cerrada</x:v>
      </x:c>
      <x:c r="J26" s="11" t="str">
        <x:v>Tec. B</x:v>
      </x:c>
      <x:c r="K26" s="11" t="n">
        <x:v>1245.75</x:v>
      </x:c>
    </x:row>
    <x:row r="27">
      <x:c r="A27" s="11" t="n">
        <x:v>26</x:v>
      </x:c>
      <x:c r="B27" s="11" t="str">
        <x:v>2026-08-02</x:v>
      </x:c>
      <x:c r="C27" s="11" t="str">
        <x:v>L3</x:v>
      </x:c>
      <x:c r="D27" s="11" t="str">
        <x:v>Empaque</x:v>
      </x:c>
      <x:c r="E27" s="11" t="str">
        <x:v>Preventivo</x:v>
      </x:c>
      <x:c r="F27" s="11" t="str">
        <x:v>Inspección general</x:v>
      </x:c>
      <x:c r="G27" s="16" t="b">
        <x:v>1</x:v>
      </x:c>
      <x:c r="H27" s="11" t="n">
        <x:v>31</x:v>
      </x:c>
      <x:c r="I27" s="11" t="str">
        <x:v>Cerrada</x:v>
      </x:c>
      <x:c r="J27" s="11" t="str">
        <x:v>Tec. C</x:v>
      </x:c>
      <x:c r="K27" s="11" t="n">
        <x:v>3006.23</x:v>
      </x:c>
    </x:row>
    <x:row r="28">
      <x:c r="A28" s="11" t="n">
        <x:v>27</x:v>
      </x:c>
      <x:c r="B28" s="11" t="str">
        <x:v>2026-08-04</x:v>
      </x:c>
      <x:c r="C28" s="11" t="str">
        <x:v>L1</x:v>
      </x:c>
      <x:c r="D28" s="11" t="str">
        <x:v>Envasado A</x:v>
      </x:c>
      <x:c r="E28" s="11" t="str">
        <x:v>Predictivo</x:v>
      </x:c>
      <x:c r="F28" s="11" t="str">
        <x:v>Alineación y ajuste</x:v>
      </x:c>
      <x:c r="G28" s="16" t="b">
        <x:v>1</x:v>
      </x:c>
      <x:c r="H28" s="11" t="n">
        <x:v>55</x:v>
      </x:c>
      <x:c r="I28" s="11" t="str">
        <x:v>Cerrada</x:v>
      </x:c>
      <x:c r="J28" s="11" t="str">
        <x:v>Tec. A</x:v>
      </x:c>
      <x:c r="K28" s="11" t="n">
        <x:v>1785.42</x:v>
      </x:c>
    </x:row>
    <x:row r="29">
      <x:c r="A29" s="11" t="n">
        <x:v>28</x:v>
      </x:c>
      <x:c r="B29" s="11" t="str">
        <x:v>2026-08-06</x:v>
      </x:c>
      <x:c r="C29" s="11" t="str">
        <x:v>L2</x:v>
      </x:c>
      <x:c r="D29" s="11" t="str">
        <x:v>Envasado B</x:v>
      </x:c>
      <x:c r="E29" s="11" t="str">
        <x:v>Predictivo</x:v>
      </x:c>
      <x:c r="F29" s="11" t="str">
        <x:v>Cambio de rodamiento</x:v>
      </x:c>
      <x:c r="G29" s="16" t="b">
        <x:v>1</x:v>
      </x:c>
      <x:c r="H29" s="11" t="n">
        <x:v>72</x:v>
      </x:c>
      <x:c r="I29" s="11" t="str">
        <x:v>Cerrada</x:v>
      </x:c>
      <x:c r="J29" s="11" t="str">
        <x:v>Tec. B</x:v>
      </x:c>
      <x:c r="K29" s="11" t="n">
        <x:v>3023.08</x:v>
      </x:c>
    </x:row>
    <x:row r="30">
      <x:c r="A30" s="11" t="n">
        <x:v>29</x:v>
      </x:c>
      <x:c r="B30" s="11" t="str">
        <x:v>2026-08-06</x:v>
      </x:c>
      <x:c r="C30" s="11" t="str">
        <x:v>L1</x:v>
      </x:c>
      <x:c r="D30" s="11" t="str">
        <x:v>Envasado A</x:v>
      </x:c>
      <x:c r="E30" s="11" t="str">
        <x:v>Preventivo</x:v>
      </x:c>
      <x:c r="F30" s="11" t="str">
        <x:v>Revisión eléctrica</x:v>
      </x:c>
      <x:c r="G30" s="16" t="b">
        <x:v>1</x:v>
      </x:c>
      <x:c r="H30" s="11" t="n">
        <x:v>141</x:v>
      </x:c>
      <x:c r="I30" s="11" t="str">
        <x:v>Cerrada</x:v>
      </x:c>
      <x:c r="J30" s="11" t="str">
        <x:v>Tec. C</x:v>
      </x:c>
      <x:c r="K30" s="11" t="n">
        <x:v>4079.75</x:v>
      </x:c>
    </x:row>
    <x:row r="31">
      <x:c r="A31" s="11" t="n">
        <x:v>30</x:v>
      </x:c>
      <x:c r="B31" s="11" t="str">
        <x:v>2026-08-08</x:v>
      </x:c>
      <x:c r="C31" s="11" t="str">
        <x:v>L3</x:v>
      </x:c>
      <x:c r="D31" s="11" t="str">
        <x:v>Empaque</x:v>
      </x:c>
      <x:c r="E31" s="11" t="str">
        <x:v>Preventivo</x:v>
      </x:c>
      <x:c r="F31" s="11" t="str">
        <x:v>Inspección general</x:v>
      </x:c>
      <x:c r="G31" s="16" t="b">
        <x:v>1</x:v>
      </x:c>
      <x:c r="H31" s="11" t="n">
        <x:v>43</x:v>
      </x:c>
      <x:c r="I31" s="11" t="str">
        <x:v>Cerrada</x:v>
      </x:c>
      <x:c r="J31" s="11" t="str">
        <x:v>Tec. B</x:v>
      </x:c>
      <x:c r="K31" s="11" t="n">
        <x:v>1840.37</x:v>
      </x:c>
    </x:row>
    <x:row r="32">
      <x:c r="A32" s="11" t="n">
        <x:v>31</x:v>
      </x:c>
      <x:c r="B32" s="11" t="str">
        <x:v>2026-08-10</x:v>
      </x:c>
      <x:c r="C32" s="11" t="str">
        <x:v>L3</x:v>
      </x:c>
      <x:c r="D32" s="11" t="str">
        <x:v>Empaque</x:v>
      </x:c>
      <x:c r="E32" s="11" t="str">
        <x:v>Correctivo</x:v>
      </x:c>
      <x:c r="F32" s="11" t="str">
        <x:v>Inspección general</x:v>
      </x:c>
      <x:c r="G32" s="16" t="b">
        <x:v>0</x:v>
      </x:c>
      <x:c r="H32" s="11" t="n">
        <x:v>90</x:v>
      </x:c>
      <x:c r="I32" s="11" t="str">
        <x:v>En proceso</x:v>
      </x:c>
      <x:c r="J32" s="11" t="str">
        <x:v>Tec. B</x:v>
      </x:c>
      <x:c r="K32" s="11" t="n">
        <x:v>4410.49</x:v>
      </x:c>
    </x:row>
    <x:row r="33">
      <x:c r="A33" s="11" t="n">
        <x:v>32</x:v>
      </x:c>
      <x:c r="B33" s="11" t="str">
        <x:v>2026-08-12</x:v>
      </x:c>
      <x:c r="C33" s="11" t="str">
        <x:v>L4</x:v>
      </x:c>
      <x:c r="D33" s="11" t="str">
        <x:v>Etiquetado</x:v>
      </x:c>
      <x:c r="E33" s="11" t="str">
        <x:v>Preventivo</x:v>
      </x:c>
      <x:c r="F33" s="11" t="str">
        <x:v>Lubricación</x:v>
      </x:c>
      <x:c r="G33" s="16" t="b">
        <x:v>1</x:v>
      </x:c>
      <x:c r="H33" s="11" t="n">
        <x:v>150</x:v>
      </x:c>
      <x:c r="I33" s="11" t="str">
        <x:v>Cerrada</x:v>
      </x:c>
      <x:c r="J33" s="11" t="str">
        <x:v>Tec. C</x:v>
      </x:c>
      <x:c r="K33" s="11" t="n">
        <x:v>3493.88</x:v>
      </x:c>
    </x:row>
    <x:row r="34">
      <x:c r="A34" s="11" t="n">
        <x:v>33</x:v>
      </x:c>
      <x:c r="B34" s="11" t="str">
        <x:v>2026-08-14</x:v>
      </x:c>
      <x:c r="C34" s="11" t="str">
        <x:v>L1</x:v>
      </x:c>
      <x:c r="D34" s="11" t="str">
        <x:v>Envasado A</x:v>
      </x:c>
      <x:c r="E34" s="11" t="str">
        <x:v>Correctivo</x:v>
      </x:c>
      <x:c r="F34" s="11" t="str">
        <x:v>Inspección general</x:v>
      </x:c>
      <x:c r="G34" s="16" t="b">
        <x:v>0</x:v>
      </x:c>
      <x:c r="H34" s="11" t="n">
        <x:v>228</x:v>
      </x:c>
      <x:c r="I34" s="11" t="str">
        <x:v>Cerrada</x:v>
      </x:c>
      <x:c r="J34" s="11" t="str">
        <x:v>Tec. A</x:v>
      </x:c>
      <x:c r="K34" s="11" t="n">
        <x:v>467.2</x:v>
      </x:c>
    </x:row>
    <x:row r="35">
      <x:c r="A35" s="11" t="n">
        <x:v>34</x:v>
      </x:c>
      <x:c r="B35" s="11" t="str">
        <x:v>2026-08-16</x:v>
      </x:c>
      <x:c r="C35" s="11" t="str">
        <x:v>L3</x:v>
      </x:c>
      <x:c r="D35" s="11" t="str">
        <x:v>Empaque</x:v>
      </x:c>
      <x:c r="E35" s="11" t="str">
        <x:v>Preventivo</x:v>
      </x:c>
      <x:c r="F35" s="11" t="str">
        <x:v>Análisis de vibración</x:v>
      </x:c>
      <x:c r="G35" s="16" t="b">
        <x:v>1</x:v>
      </x:c>
      <x:c r="H35" s="11" t="n">
        <x:v>152</x:v>
      </x:c>
      <x:c r="I35" s="11" t="str">
        <x:v>Cerrada</x:v>
      </x:c>
      <x:c r="J35" s="11" t="str">
        <x:v>Tec. C</x:v>
      </x:c>
      <x:c r="K35" s="11" t="n">
        <x:v>153.77</x:v>
      </x:c>
    </x:row>
    <x:row r="36">
      <x:c r="A36" s="11" t="n">
        <x:v>35</x:v>
      </x:c>
      <x:c r="B36" s="11" t="str">
        <x:v>2026-08-16</x:v>
      </x:c>
      <x:c r="C36" s="11" t="str">
        <x:v>L2</x:v>
      </x:c>
      <x:c r="D36" s="11" t="str">
        <x:v>Envasado B</x:v>
      </x:c>
      <x:c r="E36" s="11" t="str">
        <x:v>Preventivo</x:v>
      </x:c>
      <x:c r="F36" s="11" t="str">
        <x:v>Lubricación</x:v>
      </x:c>
      <x:c r="G36" s="16" t="b">
        <x:v>1</x:v>
      </x:c>
      <x:c r="H36" s="11" t="n">
        <x:v>124</x:v>
      </x:c>
      <x:c r="I36" s="11" t="str">
        <x:v>Cerrada</x:v>
      </x:c>
      <x:c r="J36" s="11" t="str">
        <x:v>Tec. C</x:v>
      </x:c>
      <x:c r="K36" s="11" t="n">
        <x:v>1584.76</x:v>
      </x:c>
    </x:row>
    <x:row r="37">
      <x:c r="A37" s="11" t="n">
        <x:v>36</x:v>
      </x:c>
      <x:c r="B37" s="11" t="str">
        <x:v>2026-08-18</x:v>
      </x:c>
      <x:c r="C37" s="11" t="str">
        <x:v>L1</x:v>
      </x:c>
      <x:c r="D37" s="11" t="str">
        <x:v>Envasado A</x:v>
      </x:c>
      <x:c r="E37" s="11" t="str">
        <x:v>Predictivo</x:v>
      </x:c>
      <x:c r="F37" s="11" t="str">
        <x:v>Revisión eléctrica</x:v>
      </x:c>
      <x:c r="G37" s="16" t="b">
        <x:v>1</x:v>
      </x:c>
      <x:c r="H37" s="11" t="n">
        <x:v>150</x:v>
      </x:c>
      <x:c r="I37" s="11" t="str">
        <x:v>En proceso</x:v>
      </x:c>
      <x:c r="J37" s="11" t="str">
        <x:v>Tec. B</x:v>
      </x:c>
      <x:c r="K37" s="11" t="n">
        <x:v>3821.61</x:v>
      </x:c>
    </x:row>
    <x:row r="38">
      <x:c r="A38" s="11" t="n">
        <x:v>37</x:v>
      </x:c>
      <x:c r="B38" s="11" t="str">
        <x:v>2026-08-20</x:v>
      </x:c>
      <x:c r="C38" s="11" t="str">
        <x:v>L2</x:v>
      </x:c>
      <x:c r="D38" s="11" t="str">
        <x:v>Envasado B</x:v>
      </x:c>
      <x:c r="E38" s="11" t="str">
        <x:v>Preventivo</x:v>
      </x:c>
      <x:c r="F38" s="11" t="str">
        <x:v>Inspección general</x:v>
      </x:c>
      <x:c r="G38" s="16" t="b">
        <x:v>1</x:v>
      </x:c>
      <x:c r="H38" s="11" t="n">
        <x:v>123</x:v>
      </x:c>
      <x:c r="I38" s="11" t="str">
        <x:v>En proceso</x:v>
      </x:c>
      <x:c r="J38" s="11" t="str">
        <x:v>Tec. C</x:v>
      </x:c>
      <x:c r="K38" s="11" t="n">
        <x:v>2478.57</x:v>
      </x:c>
    </x:row>
    <x:row r="39">
      <x:c r="A39" s="11" t="n">
        <x:v>38</x:v>
      </x:c>
      <x:c r="B39" s="11" t="str">
        <x:v>2026-08-22</x:v>
      </x:c>
      <x:c r="C39" s="11" t="str">
        <x:v>L3</x:v>
      </x:c>
      <x:c r="D39" s="11" t="str">
        <x:v>Empaque</x:v>
      </x:c>
      <x:c r="E39" s="11" t="str">
        <x:v>Predictivo</x:v>
      </x:c>
      <x:c r="F39" s="11" t="str">
        <x:v>Inspección general</x:v>
      </x:c>
      <x:c r="G39" s="16" t="b">
        <x:v>1</x:v>
      </x:c>
      <x:c r="H39" s="11" t="n">
        <x:v>102</x:v>
      </x:c>
      <x:c r="I39" s="11" t="str">
        <x:v>En proceso</x:v>
      </x:c>
      <x:c r="J39" s="11" t="str">
        <x:v>Tec. C</x:v>
      </x:c>
      <x:c r="K39" s="11" t="n">
        <x:v>4487.02</x:v>
      </x:c>
    </x:row>
    <x:row r="40">
      <x:c r="A40" s="11" t="n">
        <x:v>39</x:v>
      </x:c>
      <x:c r="B40" s="11" t="str">
        <x:v>2026-08-24</x:v>
      </x:c>
      <x:c r="C40" s="11" t="str">
        <x:v>L1</x:v>
      </x:c>
      <x:c r="D40" s="11" t="str">
        <x:v>Envasado A</x:v>
      </x:c>
      <x:c r="E40" s="11" t="str">
        <x:v>Predictivo</x:v>
      </x:c>
      <x:c r="F40" s="11" t="str">
        <x:v>Revisión eléctrica</x:v>
      </x:c>
      <x:c r="G40" s="16" t="b">
        <x:v>1</x:v>
      </x:c>
      <x:c r="H40" s="11" t="n">
        <x:v>112</x:v>
      </x:c>
      <x:c r="I40" s="11" t="str">
        <x:v>Cerrada</x:v>
      </x:c>
      <x:c r="J40" s="11" t="str">
        <x:v>Tec. B</x:v>
      </x:c>
      <x:c r="K40" s="11" t="n">
        <x:v>2967.9</x:v>
      </x:c>
    </x:row>
    <x:row r="41">
      <x:c r="A41" s="11" t="n">
        <x:v>40</x:v>
      </x:c>
      <x:c r="B41" s="11" t="str">
        <x:v>2026-08-24</x:v>
      </x:c>
      <x:c r="C41" s="11" t="str">
        <x:v>L2</x:v>
      </x:c>
      <x:c r="D41" s="11" t="str">
        <x:v>Envasado B</x:v>
      </x:c>
      <x:c r="E41" s="11" t="str">
        <x:v>Preventivo</x:v>
      </x:c>
      <x:c r="F41" s="11" t="str">
        <x:v>Revisión eléctrica</x:v>
      </x:c>
      <x:c r="G41" s="16" t="b">
        <x:v>1</x:v>
      </x:c>
      <x:c r="H41" s="11" t="n">
        <x:v>166</x:v>
      </x:c>
      <x:c r="I41" s="11" t="str">
        <x:v>Cerrada</x:v>
      </x:c>
      <x:c r="J41" s="11" t="str">
        <x:v>Tec. C</x:v>
      </x:c>
      <x:c r="K41" s="11" t="n">
        <x:v>980.86</x:v>
      </x:c>
    </x:row>
    <x:row r="42">
      <x:c r="A42" s="11" t="n">
        <x:v>41</x:v>
      </x:c>
      <x:c r="B42" s="11" t="str">
        <x:v>2026-08-26</x:v>
      </x:c>
      <x:c r="C42" s="11" t="str">
        <x:v>L4</x:v>
      </x:c>
      <x:c r="D42" s="11" t="str">
        <x:v>Etiquetado</x:v>
      </x:c>
      <x:c r="E42" s="11" t="str">
        <x:v>Predictivo</x:v>
      </x:c>
      <x:c r="F42" s="11" t="str">
        <x:v>Inspección general</x:v>
      </x:c>
      <x:c r="G42" s="16" t="b">
        <x:v>1</x:v>
      </x:c>
      <x:c r="H42" s="11" t="n">
        <x:v>116</x:v>
      </x:c>
      <x:c r="I42" s="11" t="str">
        <x:v>En proceso</x:v>
      </x:c>
      <x:c r="J42" s="11" t="str">
        <x:v>Tec. C</x:v>
      </x:c>
      <x:c r="K42" s="11" t="n">
        <x:v>2055.23</x:v>
      </x:c>
    </x:row>
    <x:row r="43">
      <x:c r="A43" s="11" t="n">
        <x:v>42</x:v>
      </x:c>
      <x:c r="B43" s="11" t="str">
        <x:v>2026-08-26</x:v>
      </x:c>
      <x:c r="C43" s="11" t="str">
        <x:v>L1</x:v>
      </x:c>
      <x:c r="D43" s="11" t="str">
        <x:v>Envasado A</x:v>
      </x:c>
      <x:c r="E43" s="11" t="str">
        <x:v>Preventivo</x:v>
      </x:c>
      <x:c r="F43" s="11" t="str">
        <x:v>Lubricación</x:v>
      </x:c>
      <x:c r="G43" s="16" t="b">
        <x:v>1</x:v>
      </x:c>
      <x:c r="H43" s="11" t="n">
        <x:v>60</x:v>
      </x:c>
      <x:c r="I43" s="11" t="str">
        <x:v>Cerrada</x:v>
      </x:c>
      <x:c r="J43" s="11" t="str">
        <x:v>Tec. A</x:v>
      </x:c>
      <x:c r="K43" s="11" t="n">
        <x:v>3280.86</x:v>
      </x:c>
    </x:row>
    <x:row r="44">
      <x:c r="A44" s="11" t="n">
        <x:v>43</x:v>
      </x:c>
      <x:c r="B44" s="11" t="str">
        <x:v>2026-08-28</x:v>
      </x:c>
      <x:c r="C44" s="11" t="str">
        <x:v>L2</x:v>
      </x:c>
      <x:c r="D44" s="11" t="str">
        <x:v>Envasado B</x:v>
      </x:c>
      <x:c r="E44" s="11" t="str">
        <x:v>Correctivo</x:v>
      </x:c>
      <x:c r="F44" s="11" t="str">
        <x:v>Revisión eléctrica</x:v>
      </x:c>
      <x:c r="G44" s="16" t="b">
        <x:v>0</x:v>
      </x:c>
      <x:c r="H44" s="11" t="n">
        <x:v>61</x:v>
      </x:c>
      <x:c r="I44" s="11" t="str">
        <x:v>Cerrada</x:v>
      </x:c>
      <x:c r="J44" s="11" t="str">
        <x:v>Tec. C</x:v>
      </x:c>
      <x:c r="K44" s="11" t="n">
        <x:v>4347.55</x:v>
      </x:c>
    </x:row>
    <x:row r="45">
      <x:c r="A45" s="11" t="n">
        <x:v>44</x:v>
      </x:c>
      <x:c r="B45" s="11" t="str">
        <x:v>2026-08-28</x:v>
      </x:c>
      <x:c r="C45" s="11" t="str">
        <x:v>L4</x:v>
      </x:c>
      <x:c r="D45" s="11" t="str">
        <x:v>Etiquetado</x:v>
      </x:c>
      <x:c r="E45" s="11" t="str">
        <x:v>Correctivo</x:v>
      </x:c>
      <x:c r="F45" s="11" t="str">
        <x:v>Cambio de rodamiento</x:v>
      </x:c>
      <x:c r="G45" s="16" t="b">
        <x:v>0</x:v>
      </x:c>
      <x:c r="H45" s="11" t="n">
        <x:v>49</x:v>
      </x:c>
      <x:c r="I45" s="11" t="str">
        <x:v>Cerrada</x:v>
      </x:c>
      <x:c r="J45" s="11" t="str">
        <x:v>Tec. A</x:v>
      </x:c>
      <x:c r="K45" s="11" t="n">
        <x:v>1619.08</x:v>
      </x:c>
    </x:row>
    <x:row r="46">
      <x:c r="A46" s="11" t="n">
        <x:v>45</x:v>
      </x:c>
      <x:c r="B46" s="11" t="str">
        <x:v>2026-08-30</x:v>
      </x:c>
      <x:c r="C46" s="11" t="str">
        <x:v>L1</x:v>
      </x:c>
      <x:c r="D46" s="11" t="str">
        <x:v>Envasado A</x:v>
      </x:c>
      <x:c r="E46" s="11" t="str">
        <x:v>Preventivo</x:v>
      </x:c>
      <x:c r="F46" s="11" t="str">
        <x:v>Análisis de vibración</x:v>
      </x:c>
      <x:c r="G46" s="16" t="b">
        <x:v>1</x:v>
      </x:c>
      <x:c r="H46" s="11" t="n">
        <x:v>79</x:v>
      </x:c>
      <x:c r="I46" s="11" t="str">
        <x:v>En proceso</x:v>
      </x:c>
      <x:c r="J46" s="11" t="str">
        <x:v>Tec. C</x:v>
      </x:c>
      <x:c r="K46" s="11" t="n">
        <x:v>797.95</x:v>
      </x:c>
    </x:row>
    <x:row r="47">
      <x:c r="A47" s="11" t="n">
        <x:v>46</x:v>
      </x:c>
      <x:c r="B47" s="11" t="str">
        <x:v>2026-08-30</x:v>
      </x:c>
      <x:c r="C47" s="11" t="str">
        <x:v>L2</x:v>
      </x:c>
      <x:c r="D47" s="11" t="str">
        <x:v>Envasado B</x:v>
      </x:c>
      <x:c r="E47" s="11" t="str">
        <x:v>Predictivo</x:v>
      </x:c>
      <x:c r="F47" s="11" t="str">
        <x:v>Inspección general</x:v>
      </x:c>
      <x:c r="G47" s="16" t="b">
        <x:v>1</x:v>
      </x:c>
      <x:c r="H47" s="11" t="n">
        <x:v>84</x:v>
      </x:c>
      <x:c r="I47" s="11" t="str">
        <x:v>Cerrada</x:v>
      </x:c>
      <x:c r="J47" s="11" t="str">
        <x:v>Tec. C</x:v>
      </x:c>
      <x:c r="K47" s="11" t="n">
        <x:v>765.92</x:v>
      </x:c>
    </x:row>
    <x:row r="48">
      <x:c r="A48" s="11" t="n">
        <x:v>47</x:v>
      </x:c>
      <x:c r="B48" s="11" t="str">
        <x:v>2026-09-01</x:v>
      </x:c>
      <x:c r="C48" s="11" t="str">
        <x:v>L1</x:v>
      </x:c>
      <x:c r="D48" s="11" t="str">
        <x:v>Envasado A</x:v>
      </x:c>
      <x:c r="E48" s="11" t="str">
        <x:v>Predictivo</x:v>
      </x:c>
      <x:c r="F48" s="11" t="str">
        <x:v>Análisis de vibración</x:v>
      </x:c>
      <x:c r="G48" s="16" t="b">
        <x:v>1</x:v>
      </x:c>
      <x:c r="H48" s="11" t="n">
        <x:v>36</x:v>
      </x:c>
      <x:c r="I48" s="11" t="str">
        <x:v>Cerrada</x:v>
      </x:c>
      <x:c r="J48" s="11" t="str">
        <x:v>Tec. C</x:v>
      </x:c>
      <x:c r="K48" s="11" t="n">
        <x:v>717.84</x:v>
      </x:c>
    </x:row>
    <x:row r="49">
      <x:c r="A49" s="11" t="n">
        <x:v>48</x:v>
      </x:c>
      <x:c r="B49" s="11" t="str">
        <x:v>2026-09-01</x:v>
      </x:c>
      <x:c r="C49" s="11" t="str">
        <x:v>L2</x:v>
      </x:c>
      <x:c r="D49" s="11" t="str">
        <x:v>Envasado B</x:v>
      </x:c>
      <x:c r="E49" s="11" t="str">
        <x:v>Preventivo</x:v>
      </x:c>
      <x:c r="F49" s="11" t="str">
        <x:v>Inspección general</x:v>
      </x:c>
      <x:c r="G49" s="16" t="b">
        <x:v>1</x:v>
      </x:c>
      <x:c r="H49" s="11" t="n">
        <x:v>37</x:v>
      </x:c>
      <x:c r="I49" s="11" t="str">
        <x:v>Cerrada</x:v>
      </x:c>
      <x:c r="J49" s="11" t="str">
        <x:v>Tec. B</x:v>
      </x:c>
      <x:c r="K49" s="11" t="n">
        <x:v>2808.83</x:v>
      </x:c>
    </x:row>
    <x:row r="50">
      <x:c r="A50" s="11" t="n">
        <x:v>49</x:v>
      </x:c>
      <x:c r="B50" s="11" t="str">
        <x:v>2026-09-03</x:v>
      </x:c>
      <x:c r="C50" s="11" t="str">
        <x:v>L1</x:v>
      </x:c>
      <x:c r="D50" s="11" t="str">
        <x:v>Envasado A</x:v>
      </x:c>
      <x:c r="E50" s="11" t="str">
        <x:v>Preventivo</x:v>
      </x:c>
      <x:c r="F50" s="11" t="str">
        <x:v>Inspección general</x:v>
      </x:c>
      <x:c r="G50" s="16" t="b">
        <x:v>1</x:v>
      </x:c>
      <x:c r="H50" s="11" t="n">
        <x:v>152</x:v>
      </x:c>
      <x:c r="I50" s="11" t="str">
        <x:v>Cerrada</x:v>
      </x:c>
      <x:c r="J50" s="11" t="str">
        <x:v>Tec. A</x:v>
      </x:c>
      <x:c r="K50" s="11" t="n">
        <x:v>2004.02</x:v>
      </x:c>
    </x:row>
    <x:row r="51">
      <x:c r="A51" s="11" t="n">
        <x:v>50</x:v>
      </x:c>
      <x:c r="B51" s="11" t="str">
        <x:v>2026-09-03</x:v>
      </x:c>
      <x:c r="C51" s="11" t="str">
        <x:v>L4</x:v>
      </x:c>
      <x:c r="D51" s="11" t="str">
        <x:v>Etiquetado</x:v>
      </x:c>
      <x:c r="E51" s="11" t="str">
        <x:v>Predictivo</x:v>
      </x:c>
      <x:c r="F51" s="11" t="str">
        <x:v>Inspección general</x:v>
      </x:c>
      <x:c r="G51" s="16" t="b">
        <x:v>1</x:v>
      </x:c>
      <x:c r="H51" s="11" t="n">
        <x:v>127</x:v>
      </x:c>
      <x:c r="I51" s="11" t="str">
        <x:v>Cerrada</x:v>
      </x:c>
      <x:c r="J51" s="11" t="str">
        <x:v>Tec. C</x:v>
      </x:c>
      <x:c r="K51" s="11" t="n">
        <x:v>2655.46</x:v>
      </x:c>
    </x:row>
    <x:row r="52">
      <x:c r="A52" s="11" t="n">
        <x:v>51</x:v>
      </x:c>
      <x:c r="B52" s="11" t="str">
        <x:v>2026-09-05</x:v>
      </x:c>
      <x:c r="C52" s="11" t="str">
        <x:v>L3</x:v>
      </x:c>
      <x:c r="D52" s="11" t="str">
        <x:v>Empaque</x:v>
      </x:c>
      <x:c r="E52" s="11" t="str">
        <x:v>Preventivo</x:v>
      </x:c>
      <x:c r="F52" s="11" t="str">
        <x:v>Cambio de rodamiento</x:v>
      </x:c>
      <x:c r="G52" s="16" t="b">
        <x:v>1</x:v>
      </x:c>
      <x:c r="H52" s="11" t="n">
        <x:v>36</x:v>
      </x:c>
      <x:c r="I52" s="11" t="str">
        <x:v>Cerrada</x:v>
      </x:c>
      <x:c r="J52" s="11" t="str">
        <x:v>Tec. A</x:v>
      </x:c>
      <x:c r="K52" s="11" t="n">
        <x:v>675.24</x:v>
      </x:c>
    </x:row>
    <x:row r="53">
      <x:c r="A53" s="11" t="n">
        <x:v>52</x:v>
      </x:c>
      <x:c r="B53" s="11" t="str">
        <x:v>2026-09-07</x:v>
      </x:c>
      <x:c r="C53" s="11" t="str">
        <x:v>L4</x:v>
      </x:c>
      <x:c r="D53" s="11" t="str">
        <x:v>Etiquetado</x:v>
      </x:c>
      <x:c r="E53" s="11" t="str">
        <x:v>Preventivo</x:v>
      </x:c>
      <x:c r="F53" s="11" t="str">
        <x:v>Revisión eléctrica</x:v>
      </x:c>
      <x:c r="G53" s="16" t="b">
        <x:v>1</x:v>
      </x:c>
      <x:c r="H53" s="11" t="n">
        <x:v>119</x:v>
      </x:c>
      <x:c r="I53" s="11" t="str">
        <x:v>Cerrada</x:v>
      </x:c>
      <x:c r="J53" s="11" t="str">
        <x:v>Tec. A</x:v>
      </x:c>
      <x:c r="K53" s="11" t="n">
        <x:v>4176.69</x:v>
      </x:c>
    </x:row>
    <x:row r="54">
      <x:c r="A54" s="11" t="n">
        <x:v>53</x:v>
      </x:c>
      <x:c r="B54" s="11" t="str">
        <x:v>2026-09-09</x:v>
      </x:c>
      <x:c r="C54" s="11" t="str">
        <x:v>L2</x:v>
      </x:c>
      <x:c r="D54" s="11" t="str">
        <x:v>Envasado B</x:v>
      </x:c>
      <x:c r="E54" s="11" t="str">
        <x:v>Preventivo</x:v>
      </x:c>
      <x:c r="F54" s="11" t="str">
        <x:v>Inspección general</x:v>
      </x:c>
      <x:c r="G54" s="16" t="b">
        <x:v>1</x:v>
      </x:c>
      <x:c r="H54" s="11" t="n">
        <x:v>121</x:v>
      </x:c>
      <x:c r="I54" s="11" t="str">
        <x:v>Cerrada</x:v>
      </x:c>
      <x:c r="J54" s="11" t="str">
        <x:v>Tec. B</x:v>
      </x:c>
      <x:c r="K54" s="11" t="n">
        <x:v>501.14</x:v>
      </x:c>
    </x:row>
    <x:row r="55">
      <x:c r="A55" s="11" t="n">
        <x:v>54</x:v>
      </x:c>
      <x:c r="B55" s="11" t="str">
        <x:v>2026-09-11</x:v>
      </x:c>
      <x:c r="C55" s="11" t="str">
        <x:v>L2</x:v>
      </x:c>
      <x:c r="D55" s="11" t="str">
        <x:v>Envasado B</x:v>
      </x:c>
      <x:c r="E55" s="11" t="str">
        <x:v>Preventivo</x:v>
      </x:c>
      <x:c r="F55" s="11" t="str">
        <x:v>Revisión eléctrica</x:v>
      </x:c>
      <x:c r="G55" s="16" t="b">
        <x:v>1</x:v>
      </x:c>
      <x:c r="H55" s="11" t="n">
        <x:v>176</x:v>
      </x:c>
      <x:c r="I55" s="11" t="str">
        <x:v>Cerrada</x:v>
      </x:c>
      <x:c r="J55" s="11" t="str">
        <x:v>Tec. C</x:v>
      </x:c>
      <x:c r="K55" s="11" t="n">
        <x:v>3662.24</x:v>
      </x:c>
    </x:row>
    <x:row r="56">
      <x:c r="A56" s="11" t="n">
        <x:v>55</x:v>
      </x:c>
      <x:c r="B56" s="11" t="str">
        <x:v>2026-09-13</x:v>
      </x:c>
      <x:c r="C56" s="11" t="str">
        <x:v>L2</x:v>
      </x:c>
      <x:c r="D56" s="11" t="str">
        <x:v>Envasado B</x:v>
      </x:c>
      <x:c r="E56" s="11" t="str">
        <x:v>Preventivo</x:v>
      </x:c>
      <x:c r="F56" s="11" t="str">
        <x:v>Alineación y ajuste</x:v>
      </x:c>
      <x:c r="G56" s="16" t="b">
        <x:v>1</x:v>
      </x:c>
      <x:c r="H56" s="11" t="n">
        <x:v>61</x:v>
      </x:c>
      <x:c r="I56" s="11" t="str">
        <x:v>Cerrada</x:v>
      </x:c>
      <x:c r="J56" s="11" t="str">
        <x:v>Tec. B</x:v>
      </x:c>
      <x:c r="K56" s="11" t="n">
        <x:v>1942.34</x:v>
      </x:c>
    </x:row>
    <x:row r="57">
      <x:c r="A57" s="11" t="n">
        <x:v>56</x:v>
      </x:c>
      <x:c r="B57" s="11" t="str">
        <x:v>2026-09-15</x:v>
      </x:c>
      <x:c r="C57" s="11" t="str">
        <x:v>L1</x:v>
      </x:c>
      <x:c r="D57" s="11" t="str">
        <x:v>Envasado A</x:v>
      </x:c>
      <x:c r="E57" s="11" t="str">
        <x:v>Predictivo</x:v>
      </x:c>
      <x:c r="F57" s="11" t="str">
        <x:v>Alineación y ajuste</x:v>
      </x:c>
      <x:c r="G57" s="16" t="b">
        <x:v>1</x:v>
      </x:c>
      <x:c r="H57" s="11" t="n">
        <x:v>71</x:v>
      </x:c>
      <x:c r="I57" s="11" t="str">
        <x:v>En proceso</x:v>
      </x:c>
      <x:c r="J57" s="11" t="str">
        <x:v>Tec. A</x:v>
      </x:c>
      <x:c r="K57" s="11" t="n">
        <x:v>2878.28</x:v>
      </x:c>
    </x:row>
    <x:row r="58">
      <x:c r="A58" s="11" t="n">
        <x:v>57</x:v>
      </x:c>
      <x:c r="B58" s="11" t="str">
        <x:v>2026-09-17</x:v>
      </x:c>
      <x:c r="C58" s="11" t="str">
        <x:v>L3</x:v>
      </x:c>
      <x:c r="D58" s="11" t="str">
        <x:v>Empaque</x:v>
      </x:c>
      <x:c r="E58" s="11" t="str">
        <x:v>Correctivo</x:v>
      </x:c>
      <x:c r="F58" s="11" t="str">
        <x:v>Lubricación</x:v>
      </x:c>
      <x:c r="G58" s="16" t="b">
        <x:v>0</x:v>
      </x:c>
      <x:c r="H58" s="11" t="n">
        <x:v>46</x:v>
      </x:c>
      <x:c r="I58" s="11" t="str">
        <x:v>Cerrada</x:v>
      </x:c>
      <x:c r="J58" s="11" t="str">
        <x:v>Tec. A</x:v>
      </x:c>
      <x:c r="K58" s="11" t="n">
        <x:v>4441.73</x:v>
      </x:c>
    </x:row>
    <x:row r="59">
      <x:c r="A59" s="11" t="n">
        <x:v>58</x:v>
      </x:c>
      <x:c r="B59" s="11" t="str">
        <x:v>2026-09-19</x:v>
      </x:c>
      <x:c r="C59" s="11" t="str">
        <x:v>L3</x:v>
      </x:c>
      <x:c r="D59" s="11" t="str">
        <x:v>Empaque</x:v>
      </x:c>
      <x:c r="E59" s="11" t="str">
        <x:v>Predictivo</x:v>
      </x:c>
      <x:c r="F59" s="11" t="str">
        <x:v>Revisión eléctrica</x:v>
      </x:c>
      <x:c r="G59" s="16" t="b">
        <x:v>1</x:v>
      </x:c>
      <x:c r="H59" s="11" t="n">
        <x:v>154</x:v>
      </x:c>
      <x:c r="I59" s="11" t="str">
        <x:v>Cerrada</x:v>
      </x:c>
      <x:c r="J59" s="11" t="str">
        <x:v>Tec. C</x:v>
      </x:c>
      <x:c r="K59" s="11" t="n">
        <x:v>3018.07</x:v>
      </x:c>
    </x:row>
    <x:row r="60">
      <x:c r="A60" s="11" t="n">
        <x:v>59</x:v>
      </x:c>
      <x:c r="B60" s="11" t="str">
        <x:v>2026-09-21</x:v>
      </x:c>
      <x:c r="C60" s="11" t="str">
        <x:v>L1</x:v>
      </x:c>
      <x:c r="D60" s="11" t="str">
        <x:v>Envasado A</x:v>
      </x:c>
      <x:c r="E60" s="11" t="str">
        <x:v>Preventivo</x:v>
      </x:c>
      <x:c r="F60" s="11" t="str">
        <x:v>Análisis de vibración</x:v>
      </x:c>
      <x:c r="G60" s="16" t="b">
        <x:v>1</x:v>
      </x:c>
      <x:c r="H60" s="11" t="n">
        <x:v>53</x:v>
      </x:c>
      <x:c r="I60" s="11" t="str">
        <x:v>Cerrada</x:v>
      </x:c>
      <x:c r="J60" s="11" t="str">
        <x:v>Tec. B</x:v>
      </x:c>
      <x:c r="K60" s="11" t="n">
        <x:v>2314.19</x:v>
      </x:c>
    </x:row>
    <x:row r="61">
      <x:c r="A61" s="11" t="n">
        <x:v>60</x:v>
      </x:c>
      <x:c r="B61" s="11" t="str">
        <x:v>2026-09-23</x:v>
      </x:c>
      <x:c r="C61" s="11" t="str">
        <x:v>L1</x:v>
      </x:c>
      <x:c r="D61" s="11" t="str">
        <x:v>Envasado A</x:v>
      </x:c>
      <x:c r="E61" s="11" t="str">
        <x:v>Preventivo</x:v>
      </x:c>
      <x:c r="F61" s="11" t="str">
        <x:v>Lubricación</x:v>
      </x:c>
      <x:c r="G61" s="16" t="b">
        <x:v>1</x:v>
      </x:c>
      <x:c r="H61" s="11" t="n">
        <x:v>118</x:v>
      </x:c>
      <x:c r="I61" s="11" t="str">
        <x:v>Cerrada</x:v>
      </x:c>
      <x:c r="J61" s="11" t="str">
        <x:v>Tec. B</x:v>
      </x:c>
      <x:c r="K61" s="11" t="n">
        <x:v>1243.51</x:v>
      </x:c>
    </x:row>
    <x:row r="62">
      <x:c r="A62" s="11" t="n">
        <x:v>61</x:v>
      </x:c>
      <x:c r="B62" s="11" t="str">
        <x:v>2026-09-25</x:v>
      </x:c>
      <x:c r="C62" s="11" t="str">
        <x:v>L4</x:v>
      </x:c>
      <x:c r="D62" s="11" t="str">
        <x:v>Etiquetado</x:v>
      </x:c>
      <x:c r="E62" s="11" t="str">
        <x:v>Preventivo</x:v>
      </x:c>
      <x:c r="F62" s="11" t="str">
        <x:v>Lubricación</x:v>
      </x:c>
      <x:c r="G62" s="16" t="b">
        <x:v>1</x:v>
      </x:c>
      <x:c r="H62" s="11" t="n">
        <x:v>38</x:v>
      </x:c>
      <x:c r="I62" s="11" t="str">
        <x:v>Cerrada</x:v>
      </x:c>
      <x:c r="J62" s="11" t="str">
        <x:v>Tec. A</x:v>
      </x:c>
      <x:c r="K62" s="11" t="n">
        <x:v>2260.02</x:v>
      </x:c>
    </x:row>
    <x:row r="63">
      <x:c r="A63" s="11" t="n">
        <x:v>62</x:v>
      </x:c>
      <x:c r="B63" s="11" t="str">
        <x:v>2026-09-25</x:v>
      </x:c>
      <x:c r="C63" s="11" t="str">
        <x:v>L1</x:v>
      </x:c>
      <x:c r="D63" s="11" t="str">
        <x:v>Envasado A</x:v>
      </x:c>
      <x:c r="E63" s="11" t="str">
        <x:v>Preventivo</x:v>
      </x:c>
      <x:c r="F63" s="11" t="str">
        <x:v>Análisis de vibración</x:v>
      </x:c>
      <x:c r="G63" s="16" t="b">
        <x:v>1</x:v>
      </x:c>
      <x:c r="H63" s="11" t="n">
        <x:v>43</x:v>
      </x:c>
      <x:c r="I63" s="11" t="str">
        <x:v>Cerrada</x:v>
      </x:c>
      <x:c r="J63" s="11" t="str">
        <x:v>Tec. B</x:v>
      </x:c>
      <x:c r="K63" s="11" t="n">
        <x:v>2728.27</x:v>
      </x:c>
    </x:row>
    <x:row r="64">
      <x:c r="A64" s="11" t="n">
        <x:v>63</x:v>
      </x:c>
      <x:c r="B64" s="11" t="str">
        <x:v>2026-09-27</x:v>
      </x:c>
      <x:c r="C64" s="11" t="str">
        <x:v>L4</x:v>
      </x:c>
      <x:c r="D64" s="11" t="str">
        <x:v>Etiquetado</x:v>
      </x:c>
      <x:c r="E64" s="11" t="str">
        <x:v>Preventivo</x:v>
      </x:c>
      <x:c r="F64" s="11" t="str">
        <x:v>Inspección general</x:v>
      </x:c>
      <x:c r="G64" s="16" t="b">
        <x:v>1</x:v>
      </x:c>
      <x:c r="H64" s="11" t="n">
        <x:v>108</x:v>
      </x:c>
      <x:c r="I64" s="11" t="str">
        <x:v>Cerrada</x:v>
      </x:c>
      <x:c r="J64" s="11" t="str">
        <x:v>Tec. B</x:v>
      </x:c>
      <x:c r="K64" s="11" t="n">
        <x:v>1140.85</x:v>
      </x:c>
    </x:row>
    <x:row r="65">
      <x:c r="A65" s="11" t="n">
        <x:v>64</x:v>
      </x:c>
      <x:c r="B65" s="11" t="str">
        <x:v>2026-09-29</x:v>
      </x:c>
      <x:c r="C65" s="11" t="str">
        <x:v>L4</x:v>
      </x:c>
      <x:c r="D65" s="11" t="str">
        <x:v>Etiquetado</x:v>
      </x:c>
      <x:c r="E65" s="11" t="str">
        <x:v>Preventivo</x:v>
      </x:c>
      <x:c r="F65" s="11" t="str">
        <x:v>Inspección general</x:v>
      </x:c>
      <x:c r="G65" s="16" t="b">
        <x:v>1</x:v>
      </x:c>
      <x:c r="H65" s="11" t="n">
        <x:v>121</x:v>
      </x:c>
      <x:c r="I65" s="11" t="str">
        <x:v>Cerrada</x:v>
      </x:c>
      <x:c r="J65" s="11" t="str">
        <x:v>Tec. B</x:v>
      </x:c>
      <x:c r="K65" s="11" t="n">
        <x:v>2695.15</x:v>
      </x:c>
    </x:row>
  </x:sheetData>
  <x:pageMargins left="0.7" right="0.7" top="0.75" bottom="0.75" header="0.3" footer="0.3"/>
  <x:tableParts count="1">
    <x:tablePart xmlns:r="http://schemas.openxmlformats.org/officeDocument/2006/relationships" r:id="R25274b1a559f402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1" hidden="0" customWidth="1"/>
    <x:col min="5" max="5" width="15" hidden="0" customWidth="1"/>
    <x:col min="6" max="6" width="12" hidden="0" customWidth="1"/>
    <x:col min="7" max="7" width="19" hidden="0" customWidth="1"/>
    <x:col min="8" max="8" width="19" hidden="0" customWidth="1"/>
    <x:col min="9" max="9" width="10" hidden="0" customWidth="1"/>
    <x:col min="10" max="10" width="11" hidden="0" customWidth="1"/>
    <x:col min="11" max="11" width="21" hidden="0" customWidth="1"/>
  </x:cols>
  <x:sheetData>
    <x:row r="1">
      <x:c r="A1" s="10" t="str">
        <x:v>id</x:v>
      </x:c>
      <x:c r="B1" s="10" t="str">
        <x:v>orden_compra</x:v>
      </x:c>
      <x:c r="C1" s="10" t="str">
        <x:v>proveedor_id</x:v>
      </x:c>
      <x:c r="D1" s="10" t="str">
        <x:v>proveedor</x:v>
      </x:c>
      <x:c r="E1" s="10" t="str">
        <x:v>fecha_promesa</x:v>
      </x:c>
      <x:c r="F1" s="10" t="str">
        <x:v>fecha_real</x:v>
      </x:c>
      <x:c r="G1" s="10" t="str">
        <x:v>cantidad_ordenada</x:v>
      </x:c>
      <x:c r="H1" s="10" t="str">
        <x:v>cantidad_recibida</x:v>
      </x:c>
      <x:c r="I1" s="10" t="str">
        <x:v>a_tiempo</x:v>
      </x:c>
      <x:c r="J1" s="10" t="str">
        <x:v>categoria</x:v>
      </x:c>
      <x:c r="K1" s="10" t="str">
        <x:v>tiempo_descarga_min</x:v>
      </x:c>
    </x:row>
    <x:row r="2">
      <x:c r="A2" s="11" t="n">
        <x:v>1</x:v>
      </x:c>
      <x:c r="B2" s="11" t="str">
        <x:v>PO-10001</x:v>
      </x:c>
      <x:c r="C2" s="11" t="str">
        <x:v>S004</x:v>
      </x:c>
      <x:c r="D2" s="11" t="str">
        <x:v>Proveedor Valle</x:v>
      </x:c>
      <x:c r="E2" s="11" t="str">
        <x:v>2026-07-01</x:v>
      </x:c>
      <x:c r="F2" s="11" t="str">
        <x:v>2026-07-01</x:v>
      </x:c>
      <x:c r="G2" s="11" t="n">
        <x:v>396</x:v>
      </x:c>
      <x:c r="H2" s="11" t="n">
        <x:v>387</x:v>
      </x:c>
      <x:c r="I2" s="16" t="b">
        <x:v>1</x:v>
      </x:c>
      <x:c r="J2" s="11" t="str">
        <x:v>Refacción</x:v>
      </x:c>
      <x:c r="K2" s="11" t="n">
        <x:v>37</x:v>
      </x:c>
    </x:row>
    <x:row r="3">
      <x:c r="A3" s="11" t="n">
        <x:v>2</x:v>
      </x:c>
      <x:c r="B3" s="11" t="str">
        <x:v>PO-10002</x:v>
      </x:c>
      <x:c r="C3" s="11" t="str">
        <x:v>S004</x:v>
      </x:c>
      <x:c r="D3" s="11" t="str">
        <x:v>Proveedor Valle</x:v>
      </x:c>
      <x:c r="E3" s="11" t="str">
        <x:v>2026-07-01</x:v>
      </x:c>
      <x:c r="F3" s="11" t="str">
        <x:v>2026-07-01</x:v>
      </x:c>
      <x:c r="G3" s="11" t="n">
        <x:v>497</x:v>
      </x:c>
      <x:c r="H3" s="11" t="n">
        <x:v>497</x:v>
      </x:c>
      <x:c r="I3" s="16" t="b">
        <x:v>1</x:v>
      </x:c>
      <x:c r="J3" s="11" t="str">
        <x:v>Refacción</x:v>
      </x:c>
      <x:c r="K3" s="11" t="n">
        <x:v>45</x:v>
      </x:c>
    </x:row>
    <x:row r="4">
      <x:c r="A4" s="11" t="n">
        <x:v>3</x:v>
      </x:c>
      <x:c r="B4" s="11" t="str">
        <x:v>PO-10003</x:v>
      </x:c>
      <x:c r="C4" s="11" t="str">
        <x:v>S002</x:v>
      </x:c>
      <x:c r="D4" s="11" t="str">
        <x:v>Proveedor Centro</x:v>
      </x:c>
      <x:c r="E4" s="11" t="str">
        <x:v>2026-07-02</x:v>
      </x:c>
      <x:c r="F4" s="11" t="str">
        <x:v>2026-07-02</x:v>
      </x:c>
      <x:c r="G4" s="11" t="n">
        <x:v>165</x:v>
      </x:c>
      <x:c r="H4" s="11" t="n">
        <x:v>157</x:v>
      </x:c>
      <x:c r="I4" s="16" t="b">
        <x:v>1</x:v>
      </x:c>
      <x:c r="J4" s="11" t="str">
        <x:v>Consumible</x:v>
      </x:c>
      <x:c r="K4" s="11" t="n">
        <x:v>78</x:v>
      </x:c>
    </x:row>
    <x:row r="5">
      <x:c r="A5" s="11" t="n">
        <x:v>4</x:v>
      </x:c>
      <x:c r="B5" s="11" t="str">
        <x:v>PO-10004</x:v>
      </x:c>
      <x:c r="C5" s="11" t="str">
        <x:v>S004</x:v>
      </x:c>
      <x:c r="D5" s="11" t="str">
        <x:v>Proveedor Valle</x:v>
      </x:c>
      <x:c r="E5" s="11" t="str">
        <x:v>2026-07-02</x:v>
      </x:c>
      <x:c r="F5" s="11" t="str">
        <x:v>2026-07-02</x:v>
      </x:c>
      <x:c r="G5" s="11" t="n">
        <x:v>450</x:v>
      </x:c>
      <x:c r="H5" s="11" t="n">
        <x:v>423</x:v>
      </x:c>
      <x:c r="I5" s="16" t="b">
        <x:v>1</x:v>
      </x:c>
      <x:c r="J5" s="11" t="str">
        <x:v>Empaque</x:v>
      </x:c>
      <x:c r="K5" s="11" t="n">
        <x:v>57</x:v>
      </x:c>
    </x:row>
    <x:row r="6">
      <x:c r="A6" s="11" t="n">
        <x:v>5</x:v>
      </x:c>
      <x:c r="B6" s="11" t="str">
        <x:v>PO-10005</x:v>
      </x:c>
      <x:c r="C6" s="11" t="str">
        <x:v>S002</x:v>
      </x:c>
      <x:c r="D6" s="11" t="str">
        <x:v>Proveedor Centro</x:v>
      </x:c>
      <x:c r="E6" s="11" t="str">
        <x:v>2026-07-02</x:v>
      </x:c>
      <x:c r="F6" s="11" t="str">
        <x:v>2026-07-02</x:v>
      </x:c>
      <x:c r="G6" s="11" t="n">
        <x:v>448</x:v>
      </x:c>
      <x:c r="H6" s="11" t="n">
        <x:v>400</x:v>
      </x:c>
      <x:c r="I6" s="16" t="b">
        <x:v>1</x:v>
      </x:c>
      <x:c r="J6" s="11" t="str">
        <x:v>Consumible</x:v>
      </x:c>
      <x:c r="K6" s="11" t="n">
        <x:v>86</x:v>
      </x:c>
    </x:row>
    <x:row r="7">
      <x:c r="A7" s="11" t="n">
        <x:v>6</x:v>
      </x:c>
      <x:c r="B7" s="11" t="str">
        <x:v>PO-10006</x:v>
      </x:c>
      <x:c r="C7" s="11" t="str">
        <x:v>S004</x:v>
      </x:c>
      <x:c r="D7" s="11" t="str">
        <x:v>Proveedor Valle</x:v>
      </x:c>
      <x:c r="E7" s="11" t="str">
        <x:v>2026-07-02</x:v>
      </x:c>
      <x:c r="F7" s="11" t="str">
        <x:v>2026-07-02</x:v>
      </x:c>
      <x:c r="G7" s="11" t="n">
        <x:v>543</x:v>
      </x:c>
      <x:c r="H7" s="11" t="n">
        <x:v>501</x:v>
      </x:c>
      <x:c r="I7" s="16" t="b">
        <x:v>1</x:v>
      </x:c>
      <x:c r="J7" s="11" t="str">
        <x:v>Consumible</x:v>
      </x:c>
      <x:c r="K7" s="11" t="n">
        <x:v>55</x:v>
      </x:c>
    </x:row>
    <x:row r="8">
      <x:c r="A8" s="11" t="n">
        <x:v>7</x:v>
      </x:c>
      <x:c r="B8" s="11" t="str">
        <x:v>PO-10007</x:v>
      </x:c>
      <x:c r="C8" s="11" t="str">
        <x:v>S004</x:v>
      </x:c>
      <x:c r="D8" s="11" t="str">
        <x:v>Proveedor Valle</x:v>
      </x:c>
      <x:c r="E8" s="11" t="str">
        <x:v>2026-07-03</x:v>
      </x:c>
      <x:c r="F8" s="11" t="str">
        <x:v>2026-07-03</x:v>
      </x:c>
      <x:c r="G8" s="11" t="n">
        <x:v>605</x:v>
      </x:c>
      <x:c r="H8" s="11" t="n">
        <x:v>581</x:v>
      </x:c>
      <x:c r="I8" s="16" t="b">
        <x:v>1</x:v>
      </x:c>
      <x:c r="J8" s="11" t="str">
        <x:v>Empaque</x:v>
      </x:c>
      <x:c r="K8" s="11" t="n">
        <x:v>93</x:v>
      </x:c>
    </x:row>
    <x:row r="9">
      <x:c r="A9" s="11" t="n">
        <x:v>8</x:v>
      </x:c>
      <x:c r="B9" s="11" t="str">
        <x:v>PO-10008</x:v>
      </x:c>
      <x:c r="C9" s="11" t="str">
        <x:v>S001</x:v>
      </x:c>
      <x:c r="D9" s="11" t="str">
        <x:v>Proveedor Norte</x:v>
      </x:c>
      <x:c r="E9" s="11" t="str">
        <x:v>2026-07-03</x:v>
      </x:c>
      <x:c r="F9" s="11" t="str">
        <x:v>2026-07-04</x:v>
      </x:c>
      <x:c r="G9" s="11" t="n">
        <x:v>955</x:v>
      </x:c>
      <x:c r="H9" s="11" t="n">
        <x:v>955</x:v>
      </x:c>
      <x:c r="I9" s="16" t="b">
        <x:v>0</x:v>
      </x:c>
      <x:c r="J9" s="11" t="str">
        <x:v>Consumible</x:v>
      </x:c>
      <x:c r="K9" s="11" t="n">
        <x:v>113</x:v>
      </x:c>
    </x:row>
    <x:row r="10">
      <x:c r="A10" s="11" t="n">
        <x:v>9</x:v>
      </x:c>
      <x:c r="B10" s="11" t="str">
        <x:v>PO-10009</x:v>
      </x:c>
      <x:c r="C10" s="11" t="str">
        <x:v>S004</x:v>
      </x:c>
      <x:c r="D10" s="11" t="str">
        <x:v>Proveedor Valle</x:v>
      </x:c>
      <x:c r="E10" s="11" t="str">
        <x:v>2026-07-04</x:v>
      </x:c>
      <x:c r="F10" s="11" t="str">
        <x:v>2026-07-04</x:v>
      </x:c>
      <x:c r="G10" s="11" t="n">
        <x:v>1187</x:v>
      </x:c>
      <x:c r="H10" s="11" t="n">
        <x:v>1037</x:v>
      </x:c>
      <x:c r="I10" s="16" t="b">
        <x:v>1</x:v>
      </x:c>
      <x:c r="J10" s="11" t="str">
        <x:v>Materia prima</x:v>
      </x:c>
      <x:c r="K10" s="11" t="n">
        <x:v>77</x:v>
      </x:c>
    </x:row>
    <x:row r="11">
      <x:c r="A11" s="11" t="n">
        <x:v>10</x:v>
      </x:c>
      <x:c r="B11" s="11" t="str">
        <x:v>PO-10010</x:v>
      </x:c>
      <x:c r="C11" s="11" t="str">
        <x:v>S004</x:v>
      </x:c>
      <x:c r="D11" s="11" t="str">
        <x:v>Proveedor Valle</x:v>
      </x:c>
      <x:c r="E11" s="11" t="str">
        <x:v>2026-07-04</x:v>
      </x:c>
      <x:c r="F11" s="11" t="str">
        <x:v>2026-07-04</x:v>
      </x:c>
      <x:c r="G11" s="11" t="n">
        <x:v>592</x:v>
      </x:c>
      <x:c r="H11" s="11" t="n">
        <x:v>592</x:v>
      </x:c>
      <x:c r="I11" s="16" t="b">
        <x:v>1</x:v>
      </x:c>
      <x:c r="J11" s="11" t="str">
        <x:v>Materia prima</x:v>
      </x:c>
      <x:c r="K11" s="11" t="n">
        <x:v>108</x:v>
      </x:c>
    </x:row>
    <x:row r="12">
      <x:c r="A12" s="11" t="n">
        <x:v>11</x:v>
      </x:c>
      <x:c r="B12" s="11" t="str">
        <x:v>PO-10011</x:v>
      </x:c>
      <x:c r="C12" s="11" t="str">
        <x:v>S002</x:v>
      </x:c>
      <x:c r="D12" s="11" t="str">
        <x:v>Proveedor Centro</x:v>
      </x:c>
      <x:c r="E12" s="11" t="str">
        <x:v>2026-07-06</x:v>
      </x:c>
      <x:c r="F12" s="11" t="str">
        <x:v>2026-07-07</x:v>
      </x:c>
      <x:c r="G12" s="11" t="n">
        <x:v>371</x:v>
      </x:c>
      <x:c r="H12" s="11" t="n">
        <x:v>345</x:v>
      </x:c>
      <x:c r="I12" s="16" t="b">
        <x:v>0</x:v>
      </x:c>
      <x:c r="J12" s="11" t="str">
        <x:v>Consumible</x:v>
      </x:c>
      <x:c r="K12" s="11" t="n">
        <x:v>105</x:v>
      </x:c>
    </x:row>
    <x:row r="13">
      <x:c r="A13" s="11" t="n">
        <x:v>12</x:v>
      </x:c>
      <x:c r="B13" s="11" t="str">
        <x:v>PO-10012</x:v>
      </x:c>
      <x:c r="C13" s="11" t="str">
        <x:v>S003</x:v>
      </x:c>
      <x:c r="D13" s="11" t="str">
        <x:v>Proveedor Bajío</x:v>
      </x:c>
      <x:c r="E13" s="11" t="str">
        <x:v>2026-07-06</x:v>
      </x:c>
      <x:c r="F13" s="11" t="str">
        <x:v>2026-07-06</x:v>
      </x:c>
      <x:c r="G13" s="11" t="n">
        <x:v>431</x:v>
      </x:c>
      <x:c r="H13" s="11" t="n">
        <x:v>428</x:v>
      </x:c>
      <x:c r="I13" s="16" t="b">
        <x:v>1</x:v>
      </x:c>
      <x:c r="J13" s="11" t="str">
        <x:v>Materia prima</x:v>
      </x:c>
      <x:c r="K13" s="11" t="n">
        <x:v>78</x:v>
      </x:c>
    </x:row>
    <x:row r="14">
      <x:c r="A14" s="11" t="n">
        <x:v>13</x:v>
      </x:c>
      <x:c r="B14" s="11" t="str">
        <x:v>PO-10013</x:v>
      </x:c>
      <x:c r="C14" s="11" t="str">
        <x:v>S004</x:v>
      </x:c>
      <x:c r="D14" s="11" t="str">
        <x:v>Proveedor Valle</x:v>
      </x:c>
      <x:c r="E14" s="11" t="str">
        <x:v>2026-07-06</x:v>
      </x:c>
      <x:c r="F14" s="11" t="str">
        <x:v>2026-07-06</x:v>
      </x:c>
      <x:c r="G14" s="11" t="n">
        <x:v>383</x:v>
      </x:c>
      <x:c r="H14" s="11" t="n">
        <x:v>383</x:v>
      </x:c>
      <x:c r="I14" s="16" t="b">
        <x:v>1</x:v>
      </x:c>
      <x:c r="J14" s="11" t="str">
        <x:v>Refacción</x:v>
      </x:c>
      <x:c r="K14" s="11" t="n">
        <x:v>100</x:v>
      </x:c>
    </x:row>
    <x:row r="15">
      <x:c r="A15" s="11" t="n">
        <x:v>14</x:v>
      </x:c>
      <x:c r="B15" s="11" t="str">
        <x:v>PO-10014</x:v>
      </x:c>
      <x:c r="C15" s="11" t="str">
        <x:v>S004</x:v>
      </x:c>
      <x:c r="D15" s="11" t="str">
        <x:v>Proveedor Valle</x:v>
      </x:c>
      <x:c r="E15" s="11" t="str">
        <x:v>2026-07-06</x:v>
      </x:c>
      <x:c r="F15" s="11" t="str">
        <x:v>2026-07-06</x:v>
      </x:c>
      <x:c r="G15" s="11" t="n">
        <x:v>102</x:v>
      </x:c>
      <x:c r="H15" s="11" t="n">
        <x:v>93</x:v>
      </x:c>
      <x:c r="I15" s="16" t="b">
        <x:v>1</x:v>
      </x:c>
      <x:c r="J15" s="11" t="str">
        <x:v>Materia prima</x:v>
      </x:c>
      <x:c r="K15" s="11" t="n">
        <x:v>69</x:v>
      </x:c>
    </x:row>
    <x:row r="16">
      <x:c r="A16" s="11" t="n">
        <x:v>15</x:v>
      </x:c>
      <x:c r="B16" s="11" t="str">
        <x:v>PO-10015</x:v>
      </x:c>
      <x:c r="C16" s="11" t="str">
        <x:v>S003</x:v>
      </x:c>
      <x:c r="D16" s="11" t="str">
        <x:v>Proveedor Bajío</x:v>
      </x:c>
      <x:c r="E16" s="11" t="str">
        <x:v>2026-07-06</x:v>
      </x:c>
      <x:c r="F16" s="11" t="str">
        <x:v>2026-07-06</x:v>
      </x:c>
      <x:c r="G16" s="11" t="n">
        <x:v>1187</x:v>
      </x:c>
      <x:c r="H16" s="11" t="n">
        <x:v>1187</x:v>
      </x:c>
      <x:c r="I16" s="16" t="b">
        <x:v>1</x:v>
      </x:c>
      <x:c r="J16" s="11" t="str">
        <x:v>Empaque</x:v>
      </x:c>
      <x:c r="K16" s="11" t="n">
        <x:v>120</x:v>
      </x:c>
    </x:row>
    <x:row r="17">
      <x:c r="A17" s="11" t="n">
        <x:v>16</x:v>
      </x:c>
      <x:c r="B17" s="11" t="str">
        <x:v>PO-10016</x:v>
      </x:c>
      <x:c r="C17" s="11" t="str">
        <x:v>S003</x:v>
      </x:c>
      <x:c r="D17" s="11" t="str">
        <x:v>Proveedor Bajío</x:v>
      </x:c>
      <x:c r="E17" s="11" t="str">
        <x:v>2026-07-07</x:v>
      </x:c>
      <x:c r="F17" s="11" t="str">
        <x:v>2026-07-07</x:v>
      </x:c>
      <x:c r="G17" s="11" t="n">
        <x:v>212</x:v>
      </x:c>
      <x:c r="H17" s="11" t="n">
        <x:v>206</x:v>
      </x:c>
      <x:c r="I17" s="16" t="b">
        <x:v>1</x:v>
      </x:c>
      <x:c r="J17" s="11" t="str">
        <x:v>Refacción</x:v>
      </x:c>
      <x:c r="K17" s="11" t="n">
        <x:v>26</x:v>
      </x:c>
    </x:row>
    <x:row r="18">
      <x:c r="A18" s="11" t="n">
        <x:v>17</x:v>
      </x:c>
      <x:c r="B18" s="11" t="str">
        <x:v>PO-10017</x:v>
      </x:c>
      <x:c r="C18" s="11" t="str">
        <x:v>S001</x:v>
      </x:c>
      <x:c r="D18" s="11" t="str">
        <x:v>Proveedor Norte</x:v>
      </x:c>
      <x:c r="E18" s="11" t="str">
        <x:v>2026-07-07</x:v>
      </x:c>
      <x:c r="F18" s="11" t="str">
        <x:v>2026-07-07</x:v>
      </x:c>
      <x:c r="G18" s="11" t="n">
        <x:v>884</x:v>
      </x:c>
      <x:c r="H18" s="11" t="n">
        <x:v>799</x:v>
      </x:c>
      <x:c r="I18" s="16" t="b">
        <x:v>1</x:v>
      </x:c>
      <x:c r="J18" s="11" t="str">
        <x:v>Empaque</x:v>
      </x:c>
      <x:c r="K18" s="11" t="n">
        <x:v>102</x:v>
      </x:c>
    </x:row>
    <x:row r="19">
      <x:c r="A19" s="11" t="n">
        <x:v>18</x:v>
      </x:c>
      <x:c r="B19" s="11" t="str">
        <x:v>PO-10018</x:v>
      </x:c>
      <x:c r="C19" s="11" t="str">
        <x:v>S002</x:v>
      </x:c>
      <x:c r="D19" s="11" t="str">
        <x:v>Proveedor Centro</x:v>
      </x:c>
      <x:c r="E19" s="11" t="str">
        <x:v>2026-07-08</x:v>
      </x:c>
      <x:c r="F19" s="11" t="str">
        <x:v>2026-07-10</x:v>
      </x:c>
      <x:c r="G19" s="11" t="n">
        <x:v>383</x:v>
      </x:c>
      <x:c r="H19" s="11" t="n">
        <x:v>383</x:v>
      </x:c>
      <x:c r="I19" s="16" t="b">
        <x:v>0</x:v>
      </x:c>
      <x:c r="J19" s="11" t="str">
        <x:v>Materia prima</x:v>
      </x:c>
      <x:c r="K19" s="11" t="n">
        <x:v>103</x:v>
      </x:c>
    </x:row>
    <x:row r="20">
      <x:c r="A20" s="11" t="n">
        <x:v>19</x:v>
      </x:c>
      <x:c r="B20" s="11" t="str">
        <x:v>PO-10019</x:v>
      </x:c>
      <x:c r="C20" s="11" t="str">
        <x:v>S004</x:v>
      </x:c>
      <x:c r="D20" s="11" t="str">
        <x:v>Proveedor Valle</x:v>
      </x:c>
      <x:c r="E20" s="11" t="str">
        <x:v>2026-07-08</x:v>
      </x:c>
      <x:c r="F20" s="11" t="str">
        <x:v>2026-07-08</x:v>
      </x:c>
      <x:c r="G20" s="11" t="n">
        <x:v>529</x:v>
      </x:c>
      <x:c r="H20" s="11" t="n">
        <x:v>508</x:v>
      </x:c>
      <x:c r="I20" s="16" t="b">
        <x:v>1</x:v>
      </x:c>
      <x:c r="J20" s="11" t="str">
        <x:v>Refacción</x:v>
      </x:c>
      <x:c r="K20" s="11" t="n">
        <x:v>84</x:v>
      </x:c>
    </x:row>
    <x:row r="21">
      <x:c r="A21" s="11" t="n">
        <x:v>20</x:v>
      </x:c>
      <x:c r="B21" s="11" t="str">
        <x:v>PO-10020</x:v>
      </x:c>
      <x:c r="C21" s="11" t="str">
        <x:v>S003</x:v>
      </x:c>
      <x:c r="D21" s="11" t="str">
        <x:v>Proveedor Bajío</x:v>
      </x:c>
      <x:c r="E21" s="11" t="str">
        <x:v>2026-07-09</x:v>
      </x:c>
      <x:c r="F21" s="11" t="str">
        <x:v>2026-07-09</x:v>
      </x:c>
      <x:c r="G21" s="11" t="n">
        <x:v>211</x:v>
      </x:c>
      <x:c r="H21" s="11" t="n">
        <x:v>181</x:v>
      </x:c>
      <x:c r="I21" s="16" t="b">
        <x:v>1</x:v>
      </x:c>
      <x:c r="J21" s="11" t="str">
        <x:v>Refacción</x:v>
      </x:c>
      <x:c r="K21" s="11" t="n">
        <x:v>77</x:v>
      </x:c>
    </x:row>
    <x:row r="22">
      <x:c r="A22" s="11" t="n">
        <x:v>21</x:v>
      </x:c>
      <x:c r="B22" s="11" t="str">
        <x:v>PO-10021</x:v>
      </x:c>
      <x:c r="C22" s="11" t="str">
        <x:v>S004</x:v>
      </x:c>
      <x:c r="D22" s="11" t="str">
        <x:v>Proveedor Valle</x:v>
      </x:c>
      <x:c r="E22" s="11" t="str">
        <x:v>2026-07-09</x:v>
      </x:c>
      <x:c r="F22" s="11" t="str">
        <x:v>2026-07-09</x:v>
      </x:c>
      <x:c r="G22" s="11" t="n">
        <x:v>1126</x:v>
      </x:c>
      <x:c r="H22" s="11" t="n">
        <x:v>1046</x:v>
      </x:c>
      <x:c r="I22" s="16" t="b">
        <x:v>1</x:v>
      </x:c>
      <x:c r="J22" s="11" t="str">
        <x:v>Refacción</x:v>
      </x:c>
      <x:c r="K22" s="11" t="n">
        <x:v>77</x:v>
      </x:c>
    </x:row>
    <x:row r="23">
      <x:c r="A23" s="11" t="n">
        <x:v>22</x:v>
      </x:c>
      <x:c r="B23" s="11" t="str">
        <x:v>PO-10022</x:v>
      </x:c>
      <x:c r="C23" s="11" t="str">
        <x:v>S003</x:v>
      </x:c>
      <x:c r="D23" s="11" t="str">
        <x:v>Proveedor Bajío</x:v>
      </x:c>
      <x:c r="E23" s="11" t="str">
        <x:v>2026-07-09</x:v>
      </x:c>
      <x:c r="F23" s="11" t="str">
        <x:v>2026-07-09</x:v>
      </x:c>
      <x:c r="G23" s="11" t="n">
        <x:v>234</x:v>
      </x:c>
      <x:c r="H23" s="11" t="n">
        <x:v>223</x:v>
      </x:c>
      <x:c r="I23" s="16" t="b">
        <x:v>1</x:v>
      </x:c>
      <x:c r="J23" s="11" t="str">
        <x:v>Consumible</x:v>
      </x:c>
      <x:c r="K23" s="11" t="n">
        <x:v>31</x:v>
      </x:c>
    </x:row>
    <x:row r="24">
      <x:c r="A24" s="11" t="n">
        <x:v>23</x:v>
      </x:c>
      <x:c r="B24" s="11" t="str">
        <x:v>PO-10023</x:v>
      </x:c>
      <x:c r="C24" s="11" t="str">
        <x:v>S001</x:v>
      </x:c>
      <x:c r="D24" s="11" t="str">
        <x:v>Proveedor Norte</x:v>
      </x:c>
      <x:c r="E24" s="11" t="str">
        <x:v>2026-07-09</x:v>
      </x:c>
      <x:c r="F24" s="11" t="str">
        <x:v>2026-07-10</x:v>
      </x:c>
      <x:c r="G24" s="11" t="n">
        <x:v>900</x:v>
      </x:c>
      <x:c r="H24" s="11" t="n">
        <x:v>899</x:v>
      </x:c>
      <x:c r="I24" s="16" t="b">
        <x:v>0</x:v>
      </x:c>
      <x:c r="J24" s="11" t="str">
        <x:v>Empaque</x:v>
      </x:c>
      <x:c r="K24" s="11" t="n">
        <x:v>55</x:v>
      </x:c>
    </x:row>
    <x:row r="25">
      <x:c r="A25" s="11" t="n">
        <x:v>24</x:v>
      </x:c>
      <x:c r="B25" s="11" t="str">
        <x:v>PO-10024</x:v>
      </x:c>
      <x:c r="C25" s="11" t="str">
        <x:v>S001</x:v>
      </x:c>
      <x:c r="D25" s="11" t="str">
        <x:v>Proveedor Norte</x:v>
      </x:c>
      <x:c r="E25" s="11" t="str">
        <x:v>2026-07-09</x:v>
      </x:c>
      <x:c r="F25" s="11" t="str">
        <x:v>2026-07-09</x:v>
      </x:c>
      <x:c r="G25" s="11" t="n">
        <x:v>403</x:v>
      </x:c>
      <x:c r="H25" s="11" t="n">
        <x:v>374</x:v>
      </x:c>
      <x:c r="I25" s="16" t="b">
        <x:v>1</x:v>
      </x:c>
      <x:c r="J25" s="11" t="str">
        <x:v>Empaque</x:v>
      </x:c>
      <x:c r="K25" s="11" t="n">
        <x:v>86</x:v>
      </x:c>
    </x:row>
    <x:row r="26">
      <x:c r="A26" s="11" t="n">
        <x:v>25</x:v>
      </x:c>
      <x:c r="B26" s="11" t="str">
        <x:v>PO-10025</x:v>
      </x:c>
      <x:c r="C26" s="11" t="str">
        <x:v>S003</x:v>
      </x:c>
      <x:c r="D26" s="11" t="str">
        <x:v>Proveedor Bajío</x:v>
      </x:c>
      <x:c r="E26" s="11" t="str">
        <x:v>2026-07-10</x:v>
      </x:c>
      <x:c r="F26" s="11" t="str">
        <x:v>2026-07-10</x:v>
      </x:c>
      <x:c r="G26" s="11" t="n">
        <x:v>953</x:v>
      </x:c>
      <x:c r="H26" s="11" t="n">
        <x:v>953</x:v>
      </x:c>
      <x:c r="I26" s="16" t="b">
        <x:v>1</x:v>
      </x:c>
      <x:c r="J26" s="11" t="str">
        <x:v>Refacción</x:v>
      </x:c>
      <x:c r="K26" s="11" t="n">
        <x:v>73</x:v>
      </x:c>
    </x:row>
    <x:row r="27">
      <x:c r="A27" s="11" t="n">
        <x:v>26</x:v>
      </x:c>
      <x:c r="B27" s="11" t="str">
        <x:v>PO-10026</x:v>
      </x:c>
      <x:c r="C27" s="11" t="str">
        <x:v>S004</x:v>
      </x:c>
      <x:c r="D27" s="11" t="str">
        <x:v>Proveedor Valle</x:v>
      </x:c>
      <x:c r="E27" s="11" t="str">
        <x:v>2026-07-10</x:v>
      </x:c>
      <x:c r="F27" s="11" t="str">
        <x:v>2026-07-10</x:v>
      </x:c>
      <x:c r="G27" s="11" t="n">
        <x:v>143</x:v>
      </x:c>
      <x:c r="H27" s="11" t="n">
        <x:v>135</x:v>
      </x:c>
      <x:c r="I27" s="16" t="b">
        <x:v>1</x:v>
      </x:c>
      <x:c r="J27" s="11" t="str">
        <x:v>Materia prima</x:v>
      </x:c>
      <x:c r="K27" s="11" t="n">
        <x:v>22</x:v>
      </x:c>
    </x:row>
    <x:row r="28">
      <x:c r="A28" s="11" t="n">
        <x:v>27</x:v>
      </x:c>
      <x:c r="B28" s="11" t="str">
        <x:v>PO-10027</x:v>
      </x:c>
      <x:c r="C28" s="11" t="str">
        <x:v>S003</x:v>
      </x:c>
      <x:c r="D28" s="11" t="str">
        <x:v>Proveedor Bajío</x:v>
      </x:c>
      <x:c r="E28" s="11" t="str">
        <x:v>2026-07-11</x:v>
      </x:c>
      <x:c r="F28" s="11" t="str">
        <x:v>2026-07-11</x:v>
      </x:c>
      <x:c r="G28" s="11" t="n">
        <x:v>943</x:v>
      </x:c>
      <x:c r="H28" s="11" t="n">
        <x:v>832</x:v>
      </x:c>
      <x:c r="I28" s="16" t="b">
        <x:v>1</x:v>
      </x:c>
      <x:c r="J28" s="11" t="str">
        <x:v>Consumible</x:v>
      </x:c>
      <x:c r="K28" s="11" t="n">
        <x:v>95</x:v>
      </x:c>
    </x:row>
    <x:row r="29">
      <x:c r="A29" s="11" t="n">
        <x:v>28</x:v>
      </x:c>
      <x:c r="B29" s="11" t="str">
        <x:v>PO-10028</x:v>
      </x:c>
      <x:c r="C29" s="11" t="str">
        <x:v>S004</x:v>
      </x:c>
      <x:c r="D29" s="11" t="str">
        <x:v>Proveedor Valle</x:v>
      </x:c>
      <x:c r="E29" s="11" t="str">
        <x:v>2026-07-11</x:v>
      </x:c>
      <x:c r="F29" s="11" t="str">
        <x:v>2026-07-11</x:v>
      </x:c>
      <x:c r="G29" s="11" t="n">
        <x:v>1037</x:v>
      </x:c>
      <x:c r="H29" s="11" t="n">
        <x:v>952</x:v>
      </x:c>
      <x:c r="I29" s="16" t="b">
        <x:v>1</x:v>
      </x:c>
      <x:c r="J29" s="11" t="str">
        <x:v>Empaque</x:v>
      </x:c>
      <x:c r="K29" s="11" t="n">
        <x:v>59</x:v>
      </x:c>
    </x:row>
    <x:row r="30">
      <x:c r="A30" s="11" t="n">
        <x:v>29</x:v>
      </x:c>
      <x:c r="B30" s="11" t="str">
        <x:v>PO-10029</x:v>
      </x:c>
      <x:c r="C30" s="11" t="str">
        <x:v>S002</x:v>
      </x:c>
      <x:c r="D30" s="11" t="str">
        <x:v>Proveedor Centro</x:v>
      </x:c>
      <x:c r="E30" s="11" t="str">
        <x:v>2026-07-11</x:v>
      </x:c>
      <x:c r="F30" s="11" t="str">
        <x:v>2026-07-11</x:v>
      </x:c>
      <x:c r="G30" s="11" t="n">
        <x:v>632</x:v>
      </x:c>
      <x:c r="H30" s="11" t="n">
        <x:v>612</x:v>
      </x:c>
      <x:c r="I30" s="16" t="b">
        <x:v>1</x:v>
      </x:c>
      <x:c r="J30" s="11" t="str">
        <x:v>Materia prima</x:v>
      </x:c>
      <x:c r="K30" s="11" t="n">
        <x:v>38</x:v>
      </x:c>
    </x:row>
    <x:row r="31">
      <x:c r="A31" s="11" t="n">
        <x:v>30</x:v>
      </x:c>
      <x:c r="B31" s="11" t="str">
        <x:v>PO-10030</x:v>
      </x:c>
      <x:c r="C31" s="11" t="str">
        <x:v>S003</x:v>
      </x:c>
      <x:c r="D31" s="11" t="str">
        <x:v>Proveedor Bajío</x:v>
      </x:c>
      <x:c r="E31" s="11" t="str">
        <x:v>2026-07-13</x:v>
      </x:c>
      <x:c r="F31" s="11" t="str">
        <x:v>2026-07-18</x:v>
      </x:c>
      <x:c r="G31" s="11" t="n">
        <x:v>1033</x:v>
      </x:c>
      <x:c r="H31" s="11" t="n">
        <x:v>1033</x:v>
      </x:c>
      <x:c r="I31" s="16" t="b">
        <x:v>0</x:v>
      </x:c>
      <x:c r="J31" s="11" t="str">
        <x:v>Empaque</x:v>
      </x:c>
      <x:c r="K31" s="11" t="n">
        <x:v>111</x:v>
      </x:c>
    </x:row>
    <x:row r="32">
      <x:c r="A32" s="11" t="n">
        <x:v>31</x:v>
      </x:c>
      <x:c r="B32" s="11" t="str">
        <x:v>PO-10031</x:v>
      </x:c>
      <x:c r="C32" s="11" t="str">
        <x:v>S003</x:v>
      </x:c>
      <x:c r="D32" s="11" t="str">
        <x:v>Proveedor Bajío</x:v>
      </x:c>
      <x:c r="E32" s="11" t="str">
        <x:v>2026-07-13</x:v>
      </x:c>
      <x:c r="F32" s="11" t="str">
        <x:v>2026-07-13</x:v>
      </x:c>
      <x:c r="G32" s="11" t="n">
        <x:v>473</x:v>
      </x:c>
      <x:c r="H32" s="11" t="n">
        <x:v>473</x:v>
      </x:c>
      <x:c r="I32" s="16" t="b">
        <x:v>1</x:v>
      </x:c>
      <x:c r="J32" s="11" t="str">
        <x:v>Empaque</x:v>
      </x:c>
      <x:c r="K32" s="11" t="n">
        <x:v>40</x:v>
      </x:c>
    </x:row>
    <x:row r="33">
      <x:c r="A33" s="11" t="n">
        <x:v>32</x:v>
      </x:c>
      <x:c r="B33" s="11" t="str">
        <x:v>PO-10032</x:v>
      </x:c>
      <x:c r="C33" s="11" t="str">
        <x:v>S002</x:v>
      </x:c>
      <x:c r="D33" s="11" t="str">
        <x:v>Proveedor Centro</x:v>
      </x:c>
      <x:c r="E33" s="11" t="str">
        <x:v>2026-07-13</x:v>
      </x:c>
      <x:c r="F33" s="11" t="str">
        <x:v>2026-07-13</x:v>
      </x:c>
      <x:c r="G33" s="11" t="n">
        <x:v>339</x:v>
      </x:c>
      <x:c r="H33" s="11" t="n">
        <x:v>318</x:v>
      </x:c>
      <x:c r="I33" s="16" t="b">
        <x:v>1</x:v>
      </x:c>
      <x:c r="J33" s="11" t="str">
        <x:v>Refacción</x:v>
      </x:c>
      <x:c r="K33" s="11" t="n">
        <x:v>93</x:v>
      </x:c>
    </x:row>
    <x:row r="34">
      <x:c r="A34" s="11" t="n">
        <x:v>33</x:v>
      </x:c>
      <x:c r="B34" s="11" t="str">
        <x:v>PO-10033</x:v>
      </x:c>
      <x:c r="C34" s="11" t="str">
        <x:v>S002</x:v>
      </x:c>
      <x:c r="D34" s="11" t="str">
        <x:v>Proveedor Centro</x:v>
      </x:c>
      <x:c r="E34" s="11" t="str">
        <x:v>2026-07-13</x:v>
      </x:c>
      <x:c r="F34" s="11" t="str">
        <x:v>2026-07-13</x:v>
      </x:c>
      <x:c r="G34" s="11" t="n">
        <x:v>1002</x:v>
      </x:c>
      <x:c r="H34" s="11" t="n">
        <x:v>959</x:v>
      </x:c>
      <x:c r="I34" s="16" t="b">
        <x:v>1</x:v>
      </x:c>
      <x:c r="J34" s="11" t="str">
        <x:v>Materia prima</x:v>
      </x:c>
      <x:c r="K34" s="11" t="n">
        <x:v>105</x:v>
      </x:c>
    </x:row>
    <x:row r="35">
      <x:c r="A35" s="11" t="n">
        <x:v>34</x:v>
      </x:c>
      <x:c r="B35" s="11" t="str">
        <x:v>PO-10034</x:v>
      </x:c>
      <x:c r="C35" s="11" t="str">
        <x:v>S003</x:v>
      </x:c>
      <x:c r="D35" s="11" t="str">
        <x:v>Proveedor Bajío</x:v>
      </x:c>
      <x:c r="E35" s="11" t="str">
        <x:v>2026-07-14</x:v>
      </x:c>
      <x:c r="F35" s="11" t="str">
        <x:v>2026-07-14</x:v>
      </x:c>
      <x:c r="G35" s="11" t="n">
        <x:v>402</x:v>
      </x:c>
      <x:c r="H35" s="11" t="n">
        <x:v>401</x:v>
      </x:c>
      <x:c r="I35" s="16" t="b">
        <x:v>1</x:v>
      </x:c>
      <x:c r="J35" s="11" t="str">
        <x:v>Empaque</x:v>
      </x:c>
      <x:c r="K35" s="11" t="n">
        <x:v>88</x:v>
      </x:c>
    </x:row>
    <x:row r="36">
      <x:c r="A36" s="11" t="n">
        <x:v>35</x:v>
      </x:c>
      <x:c r="B36" s="11" t="str">
        <x:v>PO-10035</x:v>
      </x:c>
      <x:c r="C36" s="11" t="str">
        <x:v>S003</x:v>
      </x:c>
      <x:c r="D36" s="11" t="str">
        <x:v>Proveedor Bajío</x:v>
      </x:c>
      <x:c r="E36" s="11" t="str">
        <x:v>2026-07-14</x:v>
      </x:c>
      <x:c r="F36" s="11" t="str">
        <x:v>2026-07-14</x:v>
      </x:c>
      <x:c r="G36" s="11" t="n">
        <x:v>348</x:v>
      </x:c>
      <x:c r="H36" s="11" t="n">
        <x:v>348</x:v>
      </x:c>
      <x:c r="I36" s="16" t="b">
        <x:v>1</x:v>
      </x:c>
      <x:c r="J36" s="11" t="str">
        <x:v>Empaque</x:v>
      </x:c>
      <x:c r="K36" s="11" t="n">
        <x:v>78</x:v>
      </x:c>
    </x:row>
    <x:row r="37">
      <x:c r="A37" s="11" t="n">
        <x:v>36</x:v>
      </x:c>
      <x:c r="B37" s="11" t="str">
        <x:v>PO-10036</x:v>
      </x:c>
      <x:c r="C37" s="11" t="str">
        <x:v>S003</x:v>
      </x:c>
      <x:c r="D37" s="11" t="str">
        <x:v>Proveedor Bajío</x:v>
      </x:c>
      <x:c r="E37" s="11" t="str">
        <x:v>2026-07-14</x:v>
      </x:c>
      <x:c r="F37" s="11" t="str">
        <x:v>2026-07-14</x:v>
      </x:c>
      <x:c r="G37" s="11" t="n">
        <x:v>419</x:v>
      </x:c>
      <x:c r="H37" s="11" t="n">
        <x:v>389</x:v>
      </x:c>
      <x:c r="I37" s="16" t="b">
        <x:v>1</x:v>
      </x:c>
      <x:c r="J37" s="11" t="str">
        <x:v>Refacción</x:v>
      </x:c>
      <x:c r="K37" s="11" t="n">
        <x:v>102</x:v>
      </x:c>
    </x:row>
    <x:row r="38">
      <x:c r="A38" s="11" t="n">
        <x:v>37</x:v>
      </x:c>
      <x:c r="B38" s="11" t="str">
        <x:v>PO-10037</x:v>
      </x:c>
      <x:c r="C38" s="11" t="str">
        <x:v>S003</x:v>
      </x:c>
      <x:c r="D38" s="11" t="str">
        <x:v>Proveedor Bajío</x:v>
      </x:c>
      <x:c r="E38" s="11" t="str">
        <x:v>2026-07-14</x:v>
      </x:c>
      <x:c r="F38" s="11" t="str">
        <x:v>2026-07-14</x:v>
      </x:c>
      <x:c r="G38" s="11" t="n">
        <x:v>1070</x:v>
      </x:c>
      <x:c r="H38" s="11" t="n">
        <x:v>1070</x:v>
      </x:c>
      <x:c r="I38" s="16" t="b">
        <x:v>1</x:v>
      </x:c>
      <x:c r="J38" s="11" t="str">
        <x:v>Empaque</x:v>
      </x:c>
      <x:c r="K38" s="11" t="n">
        <x:v>92</x:v>
      </x:c>
    </x:row>
    <x:row r="39">
      <x:c r="A39" s="11" t="n">
        <x:v>38</x:v>
      </x:c>
      <x:c r="B39" s="11" t="str">
        <x:v>PO-10038</x:v>
      </x:c>
      <x:c r="C39" s="11" t="str">
        <x:v>S003</x:v>
      </x:c>
      <x:c r="D39" s="11" t="str">
        <x:v>Proveedor Bajío</x:v>
      </x:c>
      <x:c r="E39" s="11" t="str">
        <x:v>2026-07-15</x:v>
      </x:c>
      <x:c r="F39" s="11" t="str">
        <x:v>2026-07-15</x:v>
      </x:c>
      <x:c r="G39" s="11" t="n">
        <x:v>330</x:v>
      </x:c>
      <x:c r="H39" s="11" t="n">
        <x:v>284</x:v>
      </x:c>
      <x:c r="I39" s="16" t="b">
        <x:v>1</x:v>
      </x:c>
      <x:c r="J39" s="11" t="str">
        <x:v>Materia prima</x:v>
      </x:c>
      <x:c r="K39" s="11" t="n">
        <x:v>37</x:v>
      </x:c>
    </x:row>
    <x:row r="40">
      <x:c r="A40" s="11" t="n">
        <x:v>39</x:v>
      </x:c>
      <x:c r="B40" s="11" t="str">
        <x:v>PO-10039</x:v>
      </x:c>
      <x:c r="C40" s="11" t="str">
        <x:v>S001</x:v>
      </x:c>
      <x:c r="D40" s="11" t="str">
        <x:v>Proveedor Norte</x:v>
      </x:c>
      <x:c r="E40" s="11" t="str">
        <x:v>2026-07-15</x:v>
      </x:c>
      <x:c r="F40" s="11" t="str">
        <x:v>2026-07-15</x:v>
      </x:c>
      <x:c r="G40" s="11" t="n">
        <x:v>730</x:v>
      </x:c>
      <x:c r="H40" s="11" t="n">
        <x:v>730</x:v>
      </x:c>
      <x:c r="I40" s="16" t="b">
        <x:v>1</x:v>
      </x:c>
      <x:c r="J40" s="11" t="str">
        <x:v>Refacción</x:v>
      </x:c>
      <x:c r="K40" s="11" t="n">
        <x:v>31</x:v>
      </x:c>
    </x:row>
    <x:row r="41">
      <x:c r="A41" s="11" t="n">
        <x:v>40</x:v>
      </x:c>
      <x:c r="B41" s="11" t="str">
        <x:v>PO-10040</x:v>
      </x:c>
      <x:c r="C41" s="11" t="str">
        <x:v>S003</x:v>
      </x:c>
      <x:c r="D41" s="11" t="str">
        <x:v>Proveedor Bajío</x:v>
      </x:c>
      <x:c r="E41" s="11" t="str">
        <x:v>2026-07-15</x:v>
      </x:c>
      <x:c r="F41" s="11" t="str">
        <x:v>2026-07-15</x:v>
      </x:c>
      <x:c r="G41" s="11" t="n">
        <x:v>212</x:v>
      </x:c>
      <x:c r="H41" s="11" t="n">
        <x:v>206</x:v>
      </x:c>
      <x:c r="I41" s="16" t="b">
        <x:v>1</x:v>
      </x:c>
      <x:c r="J41" s="11" t="str">
        <x:v>Empaque</x:v>
      </x:c>
      <x:c r="K41" s="11" t="n">
        <x:v>94</x:v>
      </x:c>
    </x:row>
    <x:row r="42">
      <x:c r="A42" s="11" t="n">
        <x:v>41</x:v>
      </x:c>
      <x:c r="B42" s="11" t="str">
        <x:v>PO-10041</x:v>
      </x:c>
      <x:c r="C42" s="11" t="str">
        <x:v>S002</x:v>
      </x:c>
      <x:c r="D42" s="11" t="str">
        <x:v>Proveedor Centro</x:v>
      </x:c>
      <x:c r="E42" s="11" t="str">
        <x:v>2026-07-15</x:v>
      </x:c>
      <x:c r="F42" s="11" t="str">
        <x:v>2026-07-15</x:v>
      </x:c>
      <x:c r="G42" s="11" t="n">
        <x:v>669</x:v>
      </x:c>
      <x:c r="H42" s="11" t="n">
        <x:v>647</x:v>
      </x:c>
      <x:c r="I42" s="16" t="b">
        <x:v>1</x:v>
      </x:c>
      <x:c r="J42" s="11" t="str">
        <x:v>Materia prima</x:v>
      </x:c>
      <x:c r="K42" s="11" t="n">
        <x:v>85</x:v>
      </x:c>
    </x:row>
    <x:row r="43">
      <x:c r="A43" s="11" t="n">
        <x:v>42</x:v>
      </x:c>
      <x:c r="B43" s="11" t="str">
        <x:v>PO-10042</x:v>
      </x:c>
      <x:c r="C43" s="11" t="str">
        <x:v>S004</x:v>
      </x:c>
      <x:c r="D43" s="11" t="str">
        <x:v>Proveedor Valle</x:v>
      </x:c>
      <x:c r="E43" s="11" t="str">
        <x:v>2026-07-15</x:v>
      </x:c>
      <x:c r="F43" s="11" t="str">
        <x:v>2026-07-15</x:v>
      </x:c>
      <x:c r="G43" s="11" t="n">
        <x:v>498</x:v>
      </x:c>
      <x:c r="H43" s="11" t="n">
        <x:v>489</x:v>
      </x:c>
      <x:c r="I43" s="16" t="b">
        <x:v>1</x:v>
      </x:c>
      <x:c r="J43" s="11" t="str">
        <x:v>Materia prima</x:v>
      </x:c>
      <x:c r="K43" s="11" t="n">
        <x:v>105</x:v>
      </x:c>
    </x:row>
    <x:row r="44">
      <x:c r="A44" s="11" t="n">
        <x:v>43</x:v>
      </x:c>
      <x:c r="B44" s="11" t="str">
        <x:v>PO-10043</x:v>
      </x:c>
      <x:c r="C44" s="11" t="str">
        <x:v>S004</x:v>
      </x:c>
      <x:c r="D44" s="11" t="str">
        <x:v>Proveedor Valle</x:v>
      </x:c>
      <x:c r="E44" s="11" t="str">
        <x:v>2026-07-16</x:v>
      </x:c>
      <x:c r="F44" s="11" t="str">
        <x:v>2026-07-16</x:v>
      </x:c>
      <x:c r="G44" s="11" t="n">
        <x:v>402</x:v>
      </x:c>
      <x:c r="H44" s="11" t="n">
        <x:v>380</x:v>
      </x:c>
      <x:c r="I44" s="16" t="b">
        <x:v>1</x:v>
      </x:c>
      <x:c r="J44" s="11" t="str">
        <x:v>Materia prima</x:v>
      </x:c>
      <x:c r="K44" s="11" t="n">
        <x:v>56</x:v>
      </x:c>
    </x:row>
    <x:row r="45">
      <x:c r="A45" s="11" t="n">
        <x:v>44</x:v>
      </x:c>
      <x:c r="B45" s="11" t="str">
        <x:v>PO-10044</x:v>
      </x:c>
      <x:c r="C45" s="11" t="str">
        <x:v>S003</x:v>
      </x:c>
      <x:c r="D45" s="11" t="str">
        <x:v>Proveedor Bajío</x:v>
      </x:c>
      <x:c r="E45" s="11" t="str">
        <x:v>2026-07-16</x:v>
      </x:c>
      <x:c r="F45" s="11" t="str">
        <x:v>2026-07-16</x:v>
      </x:c>
      <x:c r="G45" s="11" t="n">
        <x:v>819</x:v>
      </x:c>
      <x:c r="H45" s="11" t="n">
        <x:v>735</x:v>
      </x:c>
      <x:c r="I45" s="16" t="b">
        <x:v>1</x:v>
      </x:c>
      <x:c r="J45" s="11" t="str">
        <x:v>Consumible</x:v>
      </x:c>
      <x:c r="K45" s="11" t="n">
        <x:v>91</x:v>
      </x:c>
    </x:row>
    <x:row r="46">
      <x:c r="A46" s="11" t="n">
        <x:v>45</x:v>
      </x:c>
      <x:c r="B46" s="11" t="str">
        <x:v>PO-10045</x:v>
      </x:c>
      <x:c r="C46" s="11" t="str">
        <x:v>S001</x:v>
      </x:c>
      <x:c r="D46" s="11" t="str">
        <x:v>Proveedor Norte</x:v>
      </x:c>
      <x:c r="E46" s="11" t="str">
        <x:v>2026-07-16</x:v>
      </x:c>
      <x:c r="F46" s="11" t="str">
        <x:v>2026-07-20</x:v>
      </x:c>
      <x:c r="G46" s="11" t="n">
        <x:v>541</x:v>
      </x:c>
      <x:c r="H46" s="11" t="n">
        <x:v>514</x:v>
      </x:c>
      <x:c r="I46" s="16" t="b">
        <x:v>0</x:v>
      </x:c>
      <x:c r="J46" s="11" t="str">
        <x:v>Refacción</x:v>
      </x:c>
      <x:c r="K46" s="11" t="n">
        <x:v>40</x:v>
      </x:c>
    </x:row>
    <x:row r="47">
      <x:c r="A47" s="11" t="n">
        <x:v>46</x:v>
      </x:c>
      <x:c r="B47" s="11" t="str">
        <x:v>PO-10046</x:v>
      </x:c>
      <x:c r="C47" s="11" t="str">
        <x:v>S004</x:v>
      </x:c>
      <x:c r="D47" s="11" t="str">
        <x:v>Proveedor Valle</x:v>
      </x:c>
      <x:c r="E47" s="11" t="str">
        <x:v>2026-07-16</x:v>
      </x:c>
      <x:c r="F47" s="11" t="str">
        <x:v>2026-07-16</x:v>
      </x:c>
      <x:c r="G47" s="11" t="n">
        <x:v>948</x:v>
      </x:c>
      <x:c r="H47" s="11" t="n">
        <x:v>849</x:v>
      </x:c>
      <x:c r="I47" s="16" t="b">
        <x:v>1</x:v>
      </x:c>
      <x:c r="J47" s="11" t="str">
        <x:v>Materia prima</x:v>
      </x:c>
      <x:c r="K47" s="11" t="n">
        <x:v>38</x:v>
      </x:c>
    </x:row>
    <x:row r="48">
      <x:c r="A48" s="11" t="n">
        <x:v>47</x:v>
      </x:c>
      <x:c r="B48" s="11" t="str">
        <x:v>PO-10047</x:v>
      </x:c>
      <x:c r="C48" s="11" t="str">
        <x:v>S003</x:v>
      </x:c>
      <x:c r="D48" s="11" t="str">
        <x:v>Proveedor Bajío</x:v>
      </x:c>
      <x:c r="E48" s="11" t="str">
        <x:v>2026-07-17</x:v>
      </x:c>
      <x:c r="F48" s="11" t="str">
        <x:v>2026-07-17</x:v>
      </x:c>
      <x:c r="G48" s="11" t="n">
        <x:v>1072</x:v>
      </x:c>
      <x:c r="H48" s="11" t="n">
        <x:v>1072</x:v>
      </x:c>
      <x:c r="I48" s="16" t="b">
        <x:v>1</x:v>
      </x:c>
      <x:c r="J48" s="11" t="str">
        <x:v>Consumible</x:v>
      </x:c>
      <x:c r="K48" s="11" t="n">
        <x:v>31</x:v>
      </x:c>
    </x:row>
    <x:row r="49">
      <x:c r="A49" s="11" t="n">
        <x:v>48</x:v>
      </x:c>
      <x:c r="B49" s="11" t="str">
        <x:v>PO-10048</x:v>
      </x:c>
      <x:c r="C49" s="11" t="str">
        <x:v>S001</x:v>
      </x:c>
      <x:c r="D49" s="11" t="str">
        <x:v>Proveedor Norte</x:v>
      </x:c>
      <x:c r="E49" s="11" t="str">
        <x:v>2026-07-17</x:v>
      </x:c>
      <x:c r="F49" s="11" t="str">
        <x:v>2026-07-17</x:v>
      </x:c>
      <x:c r="G49" s="11" t="n">
        <x:v>938</x:v>
      </x:c>
      <x:c r="H49" s="11" t="n">
        <x:v>895</x:v>
      </x:c>
      <x:c r="I49" s="16" t="b">
        <x:v>1</x:v>
      </x:c>
      <x:c r="J49" s="11" t="str">
        <x:v>Refacción</x:v>
      </x:c>
      <x:c r="K49" s="11" t="n">
        <x:v>73</x:v>
      </x:c>
    </x:row>
    <x:row r="50">
      <x:c r="A50" s="11" t="n">
        <x:v>49</x:v>
      </x:c>
      <x:c r="B50" s="11" t="str">
        <x:v>PO-10049</x:v>
      </x:c>
      <x:c r="C50" s="11" t="str">
        <x:v>S002</x:v>
      </x:c>
      <x:c r="D50" s="11" t="str">
        <x:v>Proveedor Centro</x:v>
      </x:c>
      <x:c r="E50" s="11" t="str">
        <x:v>2026-07-17</x:v>
      </x:c>
      <x:c r="F50" s="11" t="str">
        <x:v>2026-07-17</x:v>
      </x:c>
      <x:c r="G50" s="11" t="n">
        <x:v>1046</x:v>
      </x:c>
      <x:c r="H50" s="11" t="n">
        <x:v>978</x:v>
      </x:c>
      <x:c r="I50" s="16" t="b">
        <x:v>1</x:v>
      </x:c>
      <x:c r="J50" s="11" t="str">
        <x:v>Empaque</x:v>
      </x:c>
      <x:c r="K50" s="11" t="n">
        <x:v>68</x:v>
      </x:c>
    </x:row>
    <x:row r="51">
      <x:c r="A51" s="11" t="n">
        <x:v>50</x:v>
      </x:c>
      <x:c r="B51" s="11" t="str">
        <x:v>PO-10050</x:v>
      </x:c>
      <x:c r="C51" s="11" t="str">
        <x:v>S004</x:v>
      </x:c>
      <x:c r="D51" s="11" t="str">
        <x:v>Proveedor Valle</x:v>
      </x:c>
      <x:c r="E51" s="11" t="str">
        <x:v>2026-07-18</x:v>
      </x:c>
      <x:c r="F51" s="11" t="str">
        <x:v>2026-07-18</x:v>
      </x:c>
      <x:c r="G51" s="11" t="n">
        <x:v>186</x:v>
      </x:c>
      <x:c r="H51" s="11" t="n">
        <x:v>160</x:v>
      </x:c>
      <x:c r="I51" s="16" t="b">
        <x:v>1</x:v>
      </x:c>
      <x:c r="J51" s="11" t="str">
        <x:v>Refacción</x:v>
      </x:c>
      <x:c r="K51" s="11" t="n">
        <x:v>94</x:v>
      </x:c>
    </x:row>
    <x:row r="52">
      <x:c r="A52" s="11" t="n">
        <x:v>51</x:v>
      </x:c>
      <x:c r="B52" s="11" t="str">
        <x:v>PO-10051</x:v>
      </x:c>
      <x:c r="C52" s="11" t="str">
        <x:v>S003</x:v>
      </x:c>
      <x:c r="D52" s="11" t="str">
        <x:v>Proveedor Bajío</x:v>
      </x:c>
      <x:c r="E52" s="11" t="str">
        <x:v>2026-07-18</x:v>
      </x:c>
      <x:c r="F52" s="11" t="str">
        <x:v>2026-07-18</x:v>
      </x:c>
      <x:c r="G52" s="11" t="n">
        <x:v>1111</x:v>
      </x:c>
      <x:c r="H52" s="11" t="n">
        <x:v>997</x:v>
      </x:c>
      <x:c r="I52" s="16" t="b">
        <x:v>1</x:v>
      </x:c>
      <x:c r="J52" s="11" t="str">
        <x:v>Materia prima</x:v>
      </x:c>
      <x:c r="K52" s="11" t="n">
        <x:v>39</x:v>
      </x:c>
    </x:row>
    <x:row r="53">
      <x:c r="A53" s="11" t="n">
        <x:v>52</x:v>
      </x:c>
      <x:c r="B53" s="11" t="str">
        <x:v>PO-10052</x:v>
      </x:c>
      <x:c r="C53" s="11" t="str">
        <x:v>S003</x:v>
      </x:c>
      <x:c r="D53" s="11" t="str">
        <x:v>Proveedor Bajío</x:v>
      </x:c>
      <x:c r="E53" s="11" t="str">
        <x:v>2026-07-18</x:v>
      </x:c>
      <x:c r="F53" s="11" t="str">
        <x:v>2026-07-22</x:v>
      </x:c>
      <x:c r="G53" s="11" t="n">
        <x:v>714</x:v>
      </x:c>
      <x:c r="H53" s="11" t="n">
        <x:v>668</x:v>
      </x:c>
      <x:c r="I53" s="16" t="b">
        <x:v>0</x:v>
      </x:c>
      <x:c r="J53" s="11" t="str">
        <x:v>Materia prima</x:v>
      </x:c>
      <x:c r="K53" s="11" t="n">
        <x:v>103</x:v>
      </x:c>
    </x:row>
    <x:row r="54">
      <x:c r="A54" s="11" t="n">
        <x:v>53</x:v>
      </x:c>
      <x:c r="B54" s="11" t="str">
        <x:v>PO-10053</x:v>
      </x:c>
      <x:c r="C54" s="11" t="str">
        <x:v>S003</x:v>
      </x:c>
      <x:c r="D54" s="11" t="str">
        <x:v>Proveedor Bajío</x:v>
      </x:c>
      <x:c r="E54" s="11" t="str">
        <x:v>2026-07-18</x:v>
      </x:c>
      <x:c r="F54" s="11" t="str">
        <x:v>2026-07-18</x:v>
      </x:c>
      <x:c r="G54" s="11" t="n">
        <x:v>954</x:v>
      </x:c>
      <x:c r="H54" s="11" t="n">
        <x:v>954</x:v>
      </x:c>
      <x:c r="I54" s="16" t="b">
        <x:v>1</x:v>
      </x:c>
      <x:c r="J54" s="11" t="str">
        <x:v>Materia prima</x:v>
      </x:c>
      <x:c r="K54" s="11" t="n">
        <x:v>35</x:v>
      </x:c>
    </x:row>
    <x:row r="55">
      <x:c r="A55" s="11" t="n">
        <x:v>54</x:v>
      </x:c>
      <x:c r="B55" s="11" t="str">
        <x:v>PO-10054</x:v>
      </x:c>
      <x:c r="C55" s="11" t="str">
        <x:v>S004</x:v>
      </x:c>
      <x:c r="D55" s="11" t="str">
        <x:v>Proveedor Valle</x:v>
      </x:c>
      <x:c r="E55" s="11" t="str">
        <x:v>2026-07-20</x:v>
      </x:c>
      <x:c r="F55" s="11" t="str">
        <x:v>2026-07-20</x:v>
      </x:c>
      <x:c r="G55" s="11" t="n">
        <x:v>236</x:v>
      </x:c>
      <x:c r="H55" s="11" t="n">
        <x:v>236</x:v>
      </x:c>
      <x:c r="I55" s="16" t="b">
        <x:v>1</x:v>
      </x:c>
      <x:c r="J55" s="11" t="str">
        <x:v>Refacción</x:v>
      </x:c>
      <x:c r="K55" s="11" t="n">
        <x:v>94</x:v>
      </x:c>
    </x:row>
    <x:row r="56">
      <x:c r="A56" s="11" t="n">
        <x:v>55</x:v>
      </x:c>
      <x:c r="B56" s="11" t="str">
        <x:v>PO-10055</x:v>
      </x:c>
      <x:c r="C56" s="11" t="str">
        <x:v>S004</x:v>
      </x:c>
      <x:c r="D56" s="11" t="str">
        <x:v>Proveedor Valle</x:v>
      </x:c>
      <x:c r="E56" s="11" t="str">
        <x:v>2026-07-20</x:v>
      </x:c>
      <x:c r="F56" s="11" t="str">
        <x:v>2026-07-20</x:v>
      </x:c>
      <x:c r="G56" s="11" t="n">
        <x:v>993</x:v>
      </x:c>
      <x:c r="H56" s="11" t="n">
        <x:v>993</x:v>
      </x:c>
      <x:c r="I56" s="16" t="b">
        <x:v>1</x:v>
      </x:c>
      <x:c r="J56" s="11" t="str">
        <x:v>Materia prima</x:v>
      </x:c>
      <x:c r="K56" s="11" t="n">
        <x:v>67</x:v>
      </x:c>
    </x:row>
    <x:row r="57">
      <x:c r="A57" s="11" t="n">
        <x:v>56</x:v>
      </x:c>
      <x:c r="B57" s="11" t="str">
        <x:v>PO-10056</x:v>
      </x:c>
      <x:c r="C57" s="11" t="str">
        <x:v>S001</x:v>
      </x:c>
      <x:c r="D57" s="11" t="str">
        <x:v>Proveedor Norte</x:v>
      </x:c>
      <x:c r="E57" s="11" t="str">
        <x:v>2026-07-20</x:v>
      </x:c>
      <x:c r="F57" s="11" t="str">
        <x:v>2026-07-20</x:v>
      </x:c>
      <x:c r="G57" s="11" t="n">
        <x:v>631</x:v>
      </x:c>
      <x:c r="H57" s="11" t="n">
        <x:v>566</x:v>
      </x:c>
      <x:c r="I57" s="16" t="b">
        <x:v>1</x:v>
      </x:c>
      <x:c r="J57" s="11" t="str">
        <x:v>Materia prima</x:v>
      </x:c>
      <x:c r="K57" s="11" t="n">
        <x:v>38</x:v>
      </x:c>
    </x:row>
    <x:row r="58">
      <x:c r="A58" s="11" t="n">
        <x:v>57</x:v>
      </x:c>
      <x:c r="B58" s="11" t="str">
        <x:v>PO-10057</x:v>
      </x:c>
      <x:c r="C58" s="11" t="str">
        <x:v>S003</x:v>
      </x:c>
      <x:c r="D58" s="11" t="str">
        <x:v>Proveedor Bajío</x:v>
      </x:c>
      <x:c r="E58" s="11" t="str">
        <x:v>2026-07-20</x:v>
      </x:c>
      <x:c r="F58" s="11" t="str">
        <x:v>2026-07-20</x:v>
      </x:c>
      <x:c r="G58" s="11" t="n">
        <x:v>1044</x:v>
      </x:c>
      <x:c r="H58" s="11" t="n">
        <x:v>1026</x:v>
      </x:c>
      <x:c r="I58" s="16" t="b">
        <x:v>1</x:v>
      </x:c>
      <x:c r="J58" s="11" t="str">
        <x:v>Refacción</x:v>
      </x:c>
      <x:c r="K58" s="11" t="n">
        <x:v>66</x:v>
      </x:c>
    </x:row>
    <x:row r="59">
      <x:c r="A59" s="11" t="n">
        <x:v>58</x:v>
      </x:c>
      <x:c r="B59" s="11" t="str">
        <x:v>PO-10058</x:v>
      </x:c>
      <x:c r="C59" s="11" t="str">
        <x:v>S003</x:v>
      </x:c>
      <x:c r="D59" s="11" t="str">
        <x:v>Proveedor Bajío</x:v>
      </x:c>
      <x:c r="E59" s="11" t="str">
        <x:v>2026-07-21</x:v>
      </x:c>
      <x:c r="F59" s="11" t="str">
        <x:v>2026-07-21</x:v>
      </x:c>
      <x:c r="G59" s="11" t="n">
        <x:v>199</x:v>
      </x:c>
      <x:c r="H59" s="11" t="n">
        <x:v>186</x:v>
      </x:c>
      <x:c r="I59" s="16" t="b">
        <x:v>1</x:v>
      </x:c>
      <x:c r="J59" s="11" t="str">
        <x:v>Materia prima</x:v>
      </x:c>
      <x:c r="K59" s="11" t="n">
        <x:v>85</x:v>
      </x:c>
    </x:row>
    <x:row r="60">
      <x:c r="A60" s="11" t="n">
        <x:v>59</x:v>
      </x:c>
      <x:c r="B60" s="11" t="str">
        <x:v>PO-10059</x:v>
      </x:c>
      <x:c r="C60" s="11" t="str">
        <x:v>S002</x:v>
      </x:c>
      <x:c r="D60" s="11" t="str">
        <x:v>Proveedor Centro</x:v>
      </x:c>
      <x:c r="E60" s="11" t="str">
        <x:v>2026-07-21</x:v>
      </x:c>
      <x:c r="F60" s="11" t="str">
        <x:v>2026-07-21</x:v>
      </x:c>
      <x:c r="G60" s="11" t="n">
        <x:v>475</x:v>
      </x:c>
      <x:c r="H60" s="11" t="n">
        <x:v>459</x:v>
      </x:c>
      <x:c r="I60" s="16" t="b">
        <x:v>1</x:v>
      </x:c>
      <x:c r="J60" s="11" t="str">
        <x:v>Refacción</x:v>
      </x:c>
      <x:c r="K60" s="11" t="n">
        <x:v>60</x:v>
      </x:c>
    </x:row>
    <x:row r="61">
      <x:c r="A61" s="11" t="n">
        <x:v>60</x:v>
      </x:c>
      <x:c r="B61" s="11" t="str">
        <x:v>PO-10060</x:v>
      </x:c>
      <x:c r="C61" s="11" t="str">
        <x:v>S003</x:v>
      </x:c>
      <x:c r="D61" s="11" t="str">
        <x:v>Proveedor Bajío</x:v>
      </x:c>
      <x:c r="E61" s="11" t="str">
        <x:v>2026-07-21</x:v>
      </x:c>
      <x:c r="F61" s="11" t="str">
        <x:v>2026-07-21</x:v>
      </x:c>
      <x:c r="G61" s="11" t="n">
        <x:v>655</x:v>
      </x:c>
      <x:c r="H61" s="11" t="n">
        <x:v>575</x:v>
      </x:c>
      <x:c r="I61" s="16" t="b">
        <x:v>1</x:v>
      </x:c>
      <x:c r="J61" s="11" t="str">
        <x:v>Refacción</x:v>
      </x:c>
      <x:c r="K61" s="11" t="n">
        <x:v>32</x:v>
      </x:c>
    </x:row>
    <x:row r="62">
      <x:c r="A62" s="11" t="n">
        <x:v>61</x:v>
      </x:c>
      <x:c r="B62" s="11" t="str">
        <x:v>PO-10061</x:v>
      </x:c>
      <x:c r="C62" s="11" t="str">
        <x:v>S003</x:v>
      </x:c>
      <x:c r="D62" s="11" t="str">
        <x:v>Proveedor Bajío</x:v>
      </x:c>
      <x:c r="E62" s="11" t="str">
        <x:v>2026-07-21</x:v>
      </x:c>
      <x:c r="F62" s="11" t="str">
        <x:v>2026-07-21</x:v>
      </x:c>
      <x:c r="G62" s="11" t="n">
        <x:v>394</x:v>
      </x:c>
      <x:c r="H62" s="11" t="n">
        <x:v>394</x:v>
      </x:c>
      <x:c r="I62" s="16" t="b">
        <x:v>1</x:v>
      </x:c>
      <x:c r="J62" s="11" t="str">
        <x:v>Consumible</x:v>
      </x:c>
      <x:c r="K62" s="11" t="n">
        <x:v>72</x:v>
      </x:c>
    </x:row>
    <x:row r="63">
      <x:c r="A63" s="11" t="n">
        <x:v>62</x:v>
      </x:c>
      <x:c r="B63" s="11" t="str">
        <x:v>PO-10062</x:v>
      </x:c>
      <x:c r="C63" s="11" t="str">
        <x:v>S003</x:v>
      </x:c>
      <x:c r="D63" s="11" t="str">
        <x:v>Proveedor Bajío</x:v>
      </x:c>
      <x:c r="E63" s="11" t="str">
        <x:v>2026-07-21</x:v>
      </x:c>
      <x:c r="F63" s="11" t="str">
        <x:v>2026-07-21</x:v>
      </x:c>
      <x:c r="G63" s="11" t="n">
        <x:v>433</x:v>
      </x:c>
      <x:c r="H63" s="11" t="n">
        <x:v>418</x:v>
      </x:c>
      <x:c r="I63" s="16" t="b">
        <x:v>1</x:v>
      </x:c>
      <x:c r="J63" s="11" t="str">
        <x:v>Empaque</x:v>
      </x:c>
      <x:c r="K63" s="11" t="n">
        <x:v>84</x:v>
      </x:c>
    </x:row>
    <x:row r="64">
      <x:c r="A64" s="11" t="n">
        <x:v>63</x:v>
      </x:c>
      <x:c r="B64" s="11" t="str">
        <x:v>PO-10063</x:v>
      </x:c>
      <x:c r="C64" s="11" t="str">
        <x:v>S002</x:v>
      </x:c>
      <x:c r="D64" s="11" t="str">
        <x:v>Proveedor Centro</x:v>
      </x:c>
      <x:c r="E64" s="11" t="str">
        <x:v>2026-07-22</x:v>
      </x:c>
      <x:c r="F64" s="11" t="str">
        <x:v>2026-07-22</x:v>
      </x:c>
      <x:c r="G64" s="11" t="n">
        <x:v>1176</x:v>
      </x:c>
      <x:c r="H64" s="11" t="n">
        <x:v>1176</x:v>
      </x:c>
      <x:c r="I64" s="16" t="b">
        <x:v>1</x:v>
      </x:c>
      <x:c r="J64" s="11" t="str">
        <x:v>Materia prima</x:v>
      </x:c>
      <x:c r="K64" s="11" t="n">
        <x:v>73</x:v>
      </x:c>
    </x:row>
    <x:row r="65">
      <x:c r="A65" s="11" t="n">
        <x:v>64</x:v>
      </x:c>
      <x:c r="B65" s="11" t="str">
        <x:v>PO-10064</x:v>
      </x:c>
      <x:c r="C65" s="11" t="str">
        <x:v>S004</x:v>
      </x:c>
      <x:c r="D65" s="11" t="str">
        <x:v>Proveedor Valle</x:v>
      </x:c>
      <x:c r="E65" s="11" t="str">
        <x:v>2026-07-22</x:v>
      </x:c>
      <x:c r="F65" s="11" t="str">
        <x:v>2026-07-22</x:v>
      </x:c>
      <x:c r="G65" s="11" t="n">
        <x:v>256</x:v>
      </x:c>
      <x:c r="H65" s="11" t="n">
        <x:v>225</x:v>
      </x:c>
      <x:c r="I65" s="16" t="b">
        <x:v>1</x:v>
      </x:c>
      <x:c r="J65" s="11" t="str">
        <x:v>Empaque</x:v>
      </x:c>
      <x:c r="K65" s="11" t="n">
        <x:v>22</x:v>
      </x:c>
    </x:row>
    <x:row r="66">
      <x:c r="A66" s="11" t="n">
        <x:v>65</x:v>
      </x:c>
      <x:c r="B66" s="11" t="str">
        <x:v>PO-10065</x:v>
      </x:c>
      <x:c r="C66" s="11" t="str">
        <x:v>S004</x:v>
      </x:c>
      <x:c r="D66" s="11" t="str">
        <x:v>Proveedor Valle</x:v>
      </x:c>
      <x:c r="E66" s="11" t="str">
        <x:v>2026-07-22</x:v>
      </x:c>
      <x:c r="F66" s="11" t="str">
        <x:v>2026-07-22</x:v>
      </x:c>
      <x:c r="G66" s="11" t="n">
        <x:v>813</x:v>
      </x:c>
      <x:c r="H66" s="11" t="n">
        <x:v>763</x:v>
      </x:c>
      <x:c r="I66" s="16" t="b">
        <x:v>1</x:v>
      </x:c>
      <x:c r="J66" s="11" t="str">
        <x:v>Refacción</x:v>
      </x:c>
      <x:c r="K66" s="11" t="n">
        <x:v>42</x:v>
      </x:c>
    </x:row>
    <x:row r="67">
      <x:c r="A67" s="11" t="n">
        <x:v>66</x:v>
      </x:c>
      <x:c r="B67" s="11" t="str">
        <x:v>PO-10066</x:v>
      </x:c>
      <x:c r="C67" s="11" t="str">
        <x:v>S001</x:v>
      </x:c>
      <x:c r="D67" s="11" t="str">
        <x:v>Proveedor Norte</x:v>
      </x:c>
      <x:c r="E67" s="11" t="str">
        <x:v>2026-07-23</x:v>
      </x:c>
      <x:c r="F67" s="11" t="str">
        <x:v>2026-07-23</x:v>
      </x:c>
      <x:c r="G67" s="11" t="n">
        <x:v>342</x:v>
      </x:c>
      <x:c r="H67" s="11" t="n">
        <x:v>342</x:v>
      </x:c>
      <x:c r="I67" s="16" t="b">
        <x:v>1</x:v>
      </x:c>
      <x:c r="J67" s="11" t="str">
        <x:v>Empaque</x:v>
      </x:c>
      <x:c r="K67" s="11" t="n">
        <x:v>108</x:v>
      </x:c>
    </x:row>
    <x:row r="68">
      <x:c r="A68" s="11" t="n">
        <x:v>67</x:v>
      </x:c>
      <x:c r="B68" s="11" t="str">
        <x:v>PO-10067</x:v>
      </x:c>
      <x:c r="C68" s="11" t="str">
        <x:v>S002</x:v>
      </x:c>
      <x:c r="D68" s="11" t="str">
        <x:v>Proveedor Centro</x:v>
      </x:c>
      <x:c r="E68" s="11" t="str">
        <x:v>2026-07-23</x:v>
      </x:c>
      <x:c r="F68" s="11" t="str">
        <x:v>2026-07-23</x:v>
      </x:c>
      <x:c r="G68" s="11" t="n">
        <x:v>729</x:v>
      </x:c>
      <x:c r="H68" s="11" t="n">
        <x:v>716</x:v>
      </x:c>
      <x:c r="I68" s="16" t="b">
        <x:v>1</x:v>
      </x:c>
      <x:c r="J68" s="11" t="str">
        <x:v>Materia prima</x:v>
      </x:c>
      <x:c r="K68" s="11" t="n">
        <x:v>29</x:v>
      </x:c>
    </x:row>
    <x:row r="69">
      <x:c r="A69" s="11" t="n">
        <x:v>68</x:v>
      </x:c>
      <x:c r="B69" s="11" t="str">
        <x:v>PO-10068</x:v>
      </x:c>
      <x:c r="C69" s="11" t="str">
        <x:v>S001</x:v>
      </x:c>
      <x:c r="D69" s="11" t="str">
        <x:v>Proveedor Norte</x:v>
      </x:c>
      <x:c r="E69" s="11" t="str">
        <x:v>2026-07-23</x:v>
      </x:c>
      <x:c r="F69" s="11" t="str">
        <x:v>2026-07-23</x:v>
      </x:c>
      <x:c r="G69" s="11" t="n">
        <x:v>1091</x:v>
      </x:c>
      <x:c r="H69" s="11" t="n">
        <x:v>1071</x:v>
      </x:c>
      <x:c r="I69" s="16" t="b">
        <x:v>1</x:v>
      </x:c>
      <x:c r="J69" s="11" t="str">
        <x:v>Materia prima</x:v>
      </x:c>
      <x:c r="K69" s="11" t="n">
        <x:v>45</x:v>
      </x:c>
    </x:row>
    <x:row r="70">
      <x:c r="A70" s="11" t="n">
        <x:v>69</x:v>
      </x:c>
      <x:c r="B70" s="11" t="str">
        <x:v>PO-10069</x:v>
      </x:c>
      <x:c r="C70" s="11" t="str">
        <x:v>S001</x:v>
      </x:c>
      <x:c r="D70" s="11" t="str">
        <x:v>Proveedor Norte</x:v>
      </x:c>
      <x:c r="E70" s="11" t="str">
        <x:v>2026-07-23</x:v>
      </x:c>
      <x:c r="F70" s="11" t="str">
        <x:v>2026-07-23</x:v>
      </x:c>
      <x:c r="G70" s="11" t="n">
        <x:v>167</x:v>
      </x:c>
      <x:c r="H70" s="11" t="n">
        <x:v>163</x:v>
      </x:c>
      <x:c r="I70" s="16" t="b">
        <x:v>1</x:v>
      </x:c>
      <x:c r="J70" s="11" t="str">
        <x:v>Materia prima</x:v>
      </x:c>
      <x:c r="K70" s="11" t="n">
        <x:v>52</x:v>
      </x:c>
    </x:row>
    <x:row r="71">
      <x:c r="A71" s="11" t="n">
        <x:v>70</x:v>
      </x:c>
      <x:c r="B71" s="11" t="str">
        <x:v>PO-10070</x:v>
      </x:c>
      <x:c r="C71" s="11" t="str">
        <x:v>S001</x:v>
      </x:c>
      <x:c r="D71" s="11" t="str">
        <x:v>Proveedor Norte</x:v>
      </x:c>
      <x:c r="E71" s="11" t="str">
        <x:v>2026-07-24</x:v>
      </x:c>
      <x:c r="F71" s="11" t="str">
        <x:v>2026-07-24</x:v>
      </x:c>
      <x:c r="G71" s="11" t="n">
        <x:v>717</x:v>
      </x:c>
      <x:c r="H71" s="11" t="n">
        <x:v>638</x:v>
      </x:c>
      <x:c r="I71" s="16" t="b">
        <x:v>1</x:v>
      </x:c>
      <x:c r="J71" s="11" t="str">
        <x:v>Materia prima</x:v>
      </x:c>
      <x:c r="K71" s="11" t="n">
        <x:v>120</x:v>
      </x:c>
    </x:row>
    <x:row r="72">
      <x:c r="A72" s="11" t="n">
        <x:v>71</x:v>
      </x:c>
      <x:c r="B72" s="11" t="str">
        <x:v>PO-10071</x:v>
      </x:c>
      <x:c r="C72" s="11" t="str">
        <x:v>S001</x:v>
      </x:c>
      <x:c r="D72" s="11" t="str">
        <x:v>Proveedor Norte</x:v>
      </x:c>
      <x:c r="E72" s="11" t="str">
        <x:v>2026-07-24</x:v>
      </x:c>
      <x:c r="F72" s="11" t="str">
        <x:v>2026-07-24</x:v>
      </x:c>
      <x:c r="G72" s="11" t="n">
        <x:v>520</x:v>
      </x:c>
      <x:c r="H72" s="11" t="n">
        <x:v>481</x:v>
      </x:c>
      <x:c r="I72" s="16" t="b">
        <x:v>1</x:v>
      </x:c>
      <x:c r="J72" s="11" t="str">
        <x:v>Materia prima</x:v>
      </x:c>
      <x:c r="K72" s="11" t="n">
        <x:v>31</x:v>
      </x:c>
    </x:row>
    <x:row r="73">
      <x:c r="A73" s="11" t="n">
        <x:v>72</x:v>
      </x:c>
      <x:c r="B73" s="11" t="str">
        <x:v>PO-10072</x:v>
      </x:c>
      <x:c r="C73" s="11" t="str">
        <x:v>S003</x:v>
      </x:c>
      <x:c r="D73" s="11" t="str">
        <x:v>Proveedor Bajío</x:v>
      </x:c>
      <x:c r="E73" s="11" t="str">
        <x:v>2026-07-25</x:v>
      </x:c>
      <x:c r="F73" s="11" t="str">
        <x:v>2026-07-25</x:v>
      </x:c>
      <x:c r="G73" s="11" t="n">
        <x:v>812</x:v>
      </x:c>
      <x:c r="H73" s="11" t="n">
        <x:v>762</x:v>
      </x:c>
      <x:c r="I73" s="16" t="b">
        <x:v>1</x:v>
      </x:c>
      <x:c r="J73" s="11" t="str">
        <x:v>Empaque</x:v>
      </x:c>
      <x:c r="K73" s="11" t="n">
        <x:v>84</x:v>
      </x:c>
    </x:row>
    <x:row r="74">
      <x:c r="A74" s="11" t="n">
        <x:v>73</x:v>
      </x:c>
      <x:c r="B74" s="11" t="str">
        <x:v>PO-10073</x:v>
      </x:c>
      <x:c r="C74" s="11" t="str">
        <x:v>S001</x:v>
      </x:c>
      <x:c r="D74" s="11" t="str">
        <x:v>Proveedor Norte</x:v>
      </x:c>
      <x:c r="E74" s="11" t="str">
        <x:v>2026-07-25</x:v>
      </x:c>
      <x:c r="F74" s="11" t="str">
        <x:v>2026-07-25</x:v>
      </x:c>
      <x:c r="G74" s="11" t="n">
        <x:v>302</x:v>
      </x:c>
      <x:c r="H74" s="11" t="n">
        <x:v>302</x:v>
      </x:c>
      <x:c r="I74" s="16" t="b">
        <x:v>1</x:v>
      </x:c>
      <x:c r="J74" s="11" t="str">
        <x:v>Empaque</x:v>
      </x:c>
      <x:c r="K74" s="11" t="n">
        <x:v>56</x:v>
      </x:c>
    </x:row>
    <x:row r="75">
      <x:c r="A75" s="11" t="n">
        <x:v>74</x:v>
      </x:c>
      <x:c r="B75" s="11" t="str">
        <x:v>PO-10074</x:v>
      </x:c>
      <x:c r="C75" s="11" t="str">
        <x:v>S002</x:v>
      </x:c>
      <x:c r="D75" s="11" t="str">
        <x:v>Proveedor Centro</x:v>
      </x:c>
      <x:c r="E75" s="11" t="str">
        <x:v>2026-07-25</x:v>
      </x:c>
      <x:c r="F75" s="11" t="str">
        <x:v>2026-07-25</x:v>
      </x:c>
      <x:c r="G75" s="11" t="n">
        <x:v>1200</x:v>
      </x:c>
      <x:c r="H75" s="11" t="n">
        <x:v>1041</x:v>
      </x:c>
      <x:c r="I75" s="16" t="b">
        <x:v>1</x:v>
      </x:c>
      <x:c r="J75" s="11" t="str">
        <x:v>Materia prima</x:v>
      </x:c>
      <x:c r="K75" s="11" t="n">
        <x:v>47</x:v>
      </x:c>
    </x:row>
    <x:row r="76">
      <x:c r="A76" s="11" t="n">
        <x:v>75</x:v>
      </x:c>
      <x:c r="B76" s="11" t="str">
        <x:v>PO-10075</x:v>
      </x:c>
      <x:c r="C76" s="11" t="str">
        <x:v>S003</x:v>
      </x:c>
      <x:c r="D76" s="11" t="str">
        <x:v>Proveedor Bajío</x:v>
      </x:c>
      <x:c r="E76" s="11" t="str">
        <x:v>2026-07-27</x:v>
      </x:c>
      <x:c r="F76" s="11" t="str">
        <x:v>2026-07-27</x:v>
      </x:c>
      <x:c r="G76" s="11" t="n">
        <x:v>479</x:v>
      </x:c>
      <x:c r="H76" s="11" t="n">
        <x:v>392</x:v>
      </x:c>
      <x:c r="I76" s="16" t="b">
        <x:v>1</x:v>
      </x:c>
      <x:c r="J76" s="11" t="str">
        <x:v>Refacción</x:v>
      </x:c>
      <x:c r="K76" s="11" t="n">
        <x:v>68</x:v>
      </x:c>
    </x:row>
    <x:row r="77">
      <x:c r="A77" s="11" t="n">
        <x:v>76</x:v>
      </x:c>
      <x:c r="B77" s="11" t="str">
        <x:v>PO-10076</x:v>
      </x:c>
      <x:c r="C77" s="11" t="str">
        <x:v>S004</x:v>
      </x:c>
      <x:c r="D77" s="11" t="str">
        <x:v>Proveedor Valle</x:v>
      </x:c>
      <x:c r="E77" s="11" t="str">
        <x:v>2026-07-27</x:v>
      </x:c>
      <x:c r="F77" s="11" t="str">
        <x:v>2026-07-27</x:v>
      </x:c>
      <x:c r="G77" s="11" t="n">
        <x:v>538</x:v>
      </x:c>
      <x:c r="H77" s="11" t="n">
        <x:v>538</x:v>
      </x:c>
      <x:c r="I77" s="16" t="b">
        <x:v>1</x:v>
      </x:c>
      <x:c r="J77" s="11" t="str">
        <x:v>Consumible</x:v>
      </x:c>
      <x:c r="K77" s="11" t="n">
        <x:v>34</x:v>
      </x:c>
    </x:row>
    <x:row r="78">
      <x:c r="A78" s="11" t="n">
        <x:v>77</x:v>
      </x:c>
      <x:c r="B78" s="11" t="str">
        <x:v>PO-10077</x:v>
      </x:c>
      <x:c r="C78" s="11" t="str">
        <x:v>S003</x:v>
      </x:c>
      <x:c r="D78" s="11" t="str">
        <x:v>Proveedor Bajío</x:v>
      </x:c>
      <x:c r="E78" s="11" t="str">
        <x:v>2026-07-27</x:v>
      </x:c>
      <x:c r="F78" s="11" t="str">
        <x:v>2026-07-27</x:v>
      </x:c>
      <x:c r="G78" s="11" t="n">
        <x:v>353</x:v>
      </x:c>
      <x:c r="H78" s="11" t="n">
        <x:v>313</x:v>
      </x:c>
      <x:c r="I78" s="16" t="b">
        <x:v>1</x:v>
      </x:c>
      <x:c r="J78" s="11" t="str">
        <x:v>Refacción</x:v>
      </x:c>
      <x:c r="K78" s="11" t="n">
        <x:v>110</x:v>
      </x:c>
    </x:row>
    <x:row r="79">
      <x:c r="A79" s="11" t="n">
        <x:v>78</x:v>
      </x:c>
      <x:c r="B79" s="11" t="str">
        <x:v>PO-10078</x:v>
      </x:c>
      <x:c r="C79" s="11" t="str">
        <x:v>S003</x:v>
      </x:c>
      <x:c r="D79" s="11" t="str">
        <x:v>Proveedor Bajío</x:v>
      </x:c>
      <x:c r="E79" s="11" t="str">
        <x:v>2026-07-27</x:v>
      </x:c>
      <x:c r="F79" s="11" t="str">
        <x:v>2026-07-27</x:v>
      </x:c>
      <x:c r="G79" s="11" t="n">
        <x:v>183</x:v>
      </x:c>
      <x:c r="H79" s="11" t="n">
        <x:v>178</x:v>
      </x:c>
      <x:c r="I79" s="16" t="b">
        <x:v>1</x:v>
      </x:c>
      <x:c r="J79" s="11" t="str">
        <x:v>Consumible</x:v>
      </x:c>
      <x:c r="K79" s="11" t="n">
        <x:v>34</x:v>
      </x:c>
    </x:row>
    <x:row r="80">
      <x:c r="A80" s="11" t="n">
        <x:v>79</x:v>
      </x:c>
      <x:c r="B80" s="11" t="str">
        <x:v>PO-10079</x:v>
      </x:c>
      <x:c r="C80" s="11" t="str">
        <x:v>S004</x:v>
      </x:c>
      <x:c r="D80" s="11" t="str">
        <x:v>Proveedor Valle</x:v>
      </x:c>
      <x:c r="E80" s="11" t="str">
        <x:v>2026-07-27</x:v>
      </x:c>
      <x:c r="F80" s="11" t="str">
        <x:v>2026-07-27</x:v>
      </x:c>
      <x:c r="G80" s="11" t="n">
        <x:v>680</x:v>
      </x:c>
      <x:c r="H80" s="11" t="n">
        <x:v>588</x:v>
      </x:c>
      <x:c r="I80" s="16" t="b">
        <x:v>1</x:v>
      </x:c>
      <x:c r="J80" s="11" t="str">
        <x:v>Consumible</x:v>
      </x:c>
      <x:c r="K80" s="11" t="n">
        <x:v>48</x:v>
      </x:c>
    </x:row>
    <x:row r="81">
      <x:c r="A81" s="11" t="n">
        <x:v>80</x:v>
      </x:c>
      <x:c r="B81" s="11" t="str">
        <x:v>PO-10080</x:v>
      </x:c>
      <x:c r="C81" s="11" t="str">
        <x:v>S003</x:v>
      </x:c>
      <x:c r="D81" s="11" t="str">
        <x:v>Proveedor Bajío</x:v>
      </x:c>
      <x:c r="E81" s="11" t="str">
        <x:v>2026-07-28</x:v>
      </x:c>
      <x:c r="F81" s="11" t="str">
        <x:v>2026-07-28</x:v>
      </x:c>
      <x:c r="G81" s="11" t="n">
        <x:v>976</x:v>
      </x:c>
      <x:c r="H81" s="11" t="n">
        <x:v>962</x:v>
      </x:c>
      <x:c r="I81" s="16" t="b">
        <x:v>1</x:v>
      </x:c>
      <x:c r="J81" s="11" t="str">
        <x:v>Materia prima</x:v>
      </x:c>
      <x:c r="K81" s="11" t="n">
        <x:v>80</x:v>
      </x:c>
    </x:row>
    <x:row r="82">
      <x:c r="A82" s="11" t="n">
        <x:v>81</x:v>
      </x:c>
      <x:c r="B82" s="11" t="str">
        <x:v>PO-10081</x:v>
      </x:c>
      <x:c r="C82" s="11" t="str">
        <x:v>S003</x:v>
      </x:c>
      <x:c r="D82" s="11" t="str">
        <x:v>Proveedor Bajío</x:v>
      </x:c>
      <x:c r="E82" s="11" t="str">
        <x:v>2026-07-28</x:v>
      </x:c>
      <x:c r="F82" s="11" t="str">
        <x:v>2026-07-28</x:v>
      </x:c>
      <x:c r="G82" s="11" t="n">
        <x:v>467</x:v>
      </x:c>
      <x:c r="H82" s="11" t="n">
        <x:v>467</x:v>
      </x:c>
      <x:c r="I82" s="16" t="b">
        <x:v>1</x:v>
      </x:c>
      <x:c r="J82" s="11" t="str">
        <x:v>Consumible</x:v>
      </x:c>
      <x:c r="K82" s="11" t="n">
        <x:v>76</x:v>
      </x:c>
    </x:row>
    <x:row r="83">
      <x:c r="A83" s="11" t="n">
        <x:v>82</x:v>
      </x:c>
      <x:c r="B83" s="11" t="str">
        <x:v>PO-10082</x:v>
      </x:c>
      <x:c r="C83" s="11" t="str">
        <x:v>S001</x:v>
      </x:c>
      <x:c r="D83" s="11" t="str">
        <x:v>Proveedor Norte</x:v>
      </x:c>
      <x:c r="E83" s="11" t="str">
        <x:v>2026-07-28</x:v>
      </x:c>
      <x:c r="F83" s="11" t="str">
        <x:v>2026-07-28</x:v>
      </x:c>
      <x:c r="G83" s="11" t="n">
        <x:v>344</x:v>
      </x:c>
      <x:c r="H83" s="11" t="n">
        <x:v>332</x:v>
      </x:c>
      <x:c r="I83" s="16" t="b">
        <x:v>1</x:v>
      </x:c>
      <x:c r="J83" s="11" t="str">
        <x:v>Consumible</x:v>
      </x:c>
      <x:c r="K83" s="11" t="n">
        <x:v>108</x:v>
      </x:c>
    </x:row>
    <x:row r="84">
      <x:c r="A84" s="11" t="n">
        <x:v>83</x:v>
      </x:c>
      <x:c r="B84" s="11" t="str">
        <x:v>PO-10083</x:v>
      </x:c>
      <x:c r="C84" s="11" t="str">
        <x:v>S001</x:v>
      </x:c>
      <x:c r="D84" s="11" t="str">
        <x:v>Proveedor Norte</x:v>
      </x:c>
      <x:c r="E84" s="11" t="str">
        <x:v>2026-07-28</x:v>
      </x:c>
      <x:c r="F84" s="11" t="str">
        <x:v>2026-07-28</x:v>
      </x:c>
      <x:c r="G84" s="11" t="n">
        <x:v>445</x:v>
      </x:c>
      <x:c r="H84" s="11" t="n">
        <x:v>445</x:v>
      </x:c>
      <x:c r="I84" s="16" t="b">
        <x:v>1</x:v>
      </x:c>
      <x:c r="J84" s="11" t="str">
        <x:v>Consumible</x:v>
      </x:c>
      <x:c r="K84" s="11" t="n">
        <x:v>35</x:v>
      </x:c>
    </x:row>
    <x:row r="85">
      <x:c r="A85" s="11" t="n">
        <x:v>84</x:v>
      </x:c>
      <x:c r="B85" s="11" t="str">
        <x:v>PO-10084</x:v>
      </x:c>
      <x:c r="C85" s="11" t="str">
        <x:v>S002</x:v>
      </x:c>
      <x:c r="D85" s="11" t="str">
        <x:v>Proveedor Centro</x:v>
      </x:c>
      <x:c r="E85" s="11" t="str">
        <x:v>2026-07-28</x:v>
      </x:c>
      <x:c r="F85" s="11" t="str">
        <x:v>2026-07-28</x:v>
      </x:c>
      <x:c r="G85" s="11" t="n">
        <x:v>969</x:v>
      </x:c>
      <x:c r="H85" s="11" t="n">
        <x:v>969</x:v>
      </x:c>
      <x:c r="I85" s="16" t="b">
        <x:v>1</x:v>
      </x:c>
      <x:c r="J85" s="11" t="str">
        <x:v>Refacción</x:v>
      </x:c>
      <x:c r="K85" s="11" t="n">
        <x:v>117</x:v>
      </x:c>
    </x:row>
    <x:row r="86">
      <x:c r="A86" s="11" t="n">
        <x:v>85</x:v>
      </x:c>
      <x:c r="B86" s="11" t="str">
        <x:v>PO-10085</x:v>
      </x:c>
      <x:c r="C86" s="11" t="str">
        <x:v>S004</x:v>
      </x:c>
      <x:c r="D86" s="11" t="str">
        <x:v>Proveedor Valle</x:v>
      </x:c>
      <x:c r="E86" s="11" t="str">
        <x:v>2026-07-29</x:v>
      </x:c>
      <x:c r="F86" s="11" t="str">
        <x:v>2026-07-29</x:v>
      </x:c>
      <x:c r="G86" s="11" t="n">
        <x:v>829</x:v>
      </x:c>
      <x:c r="H86" s="11" t="n">
        <x:v>728</x:v>
      </x:c>
      <x:c r="I86" s="16" t="b">
        <x:v>1</x:v>
      </x:c>
      <x:c r="J86" s="11" t="str">
        <x:v>Consumible</x:v>
      </x:c>
      <x:c r="K86" s="11" t="n">
        <x:v>85</x:v>
      </x:c>
    </x:row>
    <x:row r="87">
      <x:c r="A87" s="11" t="n">
        <x:v>86</x:v>
      </x:c>
      <x:c r="B87" s="11" t="str">
        <x:v>PO-10086</x:v>
      </x:c>
      <x:c r="C87" s="11" t="str">
        <x:v>S003</x:v>
      </x:c>
      <x:c r="D87" s="11" t="str">
        <x:v>Proveedor Bajío</x:v>
      </x:c>
      <x:c r="E87" s="11" t="str">
        <x:v>2026-07-29</x:v>
      </x:c>
      <x:c r="F87" s="11" t="str">
        <x:v>2026-07-29</x:v>
      </x:c>
      <x:c r="G87" s="11" t="n">
        <x:v>401</x:v>
      </x:c>
      <x:c r="H87" s="11" t="n">
        <x:v>389</x:v>
      </x:c>
      <x:c r="I87" s="16" t="b">
        <x:v>1</x:v>
      </x:c>
      <x:c r="J87" s="11" t="str">
        <x:v>Materia prima</x:v>
      </x:c>
      <x:c r="K87" s="11" t="n">
        <x:v>35</x:v>
      </x:c>
    </x:row>
    <x:row r="88">
      <x:c r="A88" s="11" t="n">
        <x:v>87</x:v>
      </x:c>
      <x:c r="B88" s="11" t="str">
        <x:v>PO-10087</x:v>
      </x:c>
      <x:c r="C88" s="11" t="str">
        <x:v>S003</x:v>
      </x:c>
      <x:c r="D88" s="11" t="str">
        <x:v>Proveedor Bajío</x:v>
      </x:c>
      <x:c r="E88" s="11" t="str">
        <x:v>2026-07-29</x:v>
      </x:c>
      <x:c r="F88" s="11" t="str">
        <x:v>2026-07-29</x:v>
      </x:c>
      <x:c r="G88" s="11" t="n">
        <x:v>1102</x:v>
      </x:c>
      <x:c r="H88" s="11" t="n">
        <x:v>964</x:v>
      </x:c>
      <x:c r="I88" s="16" t="b">
        <x:v>1</x:v>
      </x:c>
      <x:c r="J88" s="11" t="str">
        <x:v>Materia prima</x:v>
      </x:c>
      <x:c r="K88" s="11" t="n">
        <x:v>114</x:v>
      </x:c>
    </x:row>
    <x:row r="89">
      <x:c r="A89" s="11" t="n">
        <x:v>88</x:v>
      </x:c>
      <x:c r="B89" s="11" t="str">
        <x:v>PO-10088</x:v>
      </x:c>
      <x:c r="C89" s="11" t="str">
        <x:v>S001</x:v>
      </x:c>
      <x:c r="D89" s="11" t="str">
        <x:v>Proveedor Norte</x:v>
      </x:c>
      <x:c r="E89" s="11" t="str">
        <x:v>2026-07-29</x:v>
      </x:c>
      <x:c r="F89" s="11" t="str">
        <x:v>2026-07-29</x:v>
      </x:c>
      <x:c r="G89" s="11" t="n">
        <x:v>239</x:v>
      </x:c>
      <x:c r="H89" s="11" t="n">
        <x:v>229</x:v>
      </x:c>
      <x:c r="I89" s="16" t="b">
        <x:v>1</x:v>
      </x:c>
      <x:c r="J89" s="11" t="str">
        <x:v>Materia prima</x:v>
      </x:c>
      <x:c r="K89" s="11" t="n">
        <x:v>42</x:v>
      </x:c>
    </x:row>
    <x:row r="90">
      <x:c r="A90" s="11" t="n">
        <x:v>89</x:v>
      </x:c>
      <x:c r="B90" s="11" t="str">
        <x:v>PO-10089</x:v>
      </x:c>
      <x:c r="C90" s="11" t="str">
        <x:v>S003</x:v>
      </x:c>
      <x:c r="D90" s="11" t="str">
        <x:v>Proveedor Bajío</x:v>
      </x:c>
      <x:c r="E90" s="11" t="str">
        <x:v>2026-07-30</x:v>
      </x:c>
      <x:c r="F90" s="11" t="str">
        <x:v>2026-07-30</x:v>
      </x:c>
      <x:c r="G90" s="11" t="n">
        <x:v>412</x:v>
      </x:c>
      <x:c r="H90" s="11" t="n">
        <x:v>384</x:v>
      </x:c>
      <x:c r="I90" s="16" t="b">
        <x:v>1</x:v>
      </x:c>
      <x:c r="J90" s="11" t="str">
        <x:v>Consumible</x:v>
      </x:c>
      <x:c r="K90" s="11" t="n">
        <x:v>79</x:v>
      </x:c>
    </x:row>
    <x:row r="91">
      <x:c r="A91" s="11" t="n">
        <x:v>90</x:v>
      </x:c>
      <x:c r="B91" s="11" t="str">
        <x:v>PO-10090</x:v>
      </x:c>
      <x:c r="C91" s="11" t="str">
        <x:v>S002</x:v>
      </x:c>
      <x:c r="D91" s="11" t="str">
        <x:v>Proveedor Centro</x:v>
      </x:c>
      <x:c r="E91" s="11" t="str">
        <x:v>2026-07-30</x:v>
      </x:c>
      <x:c r="F91" s="11" t="str">
        <x:v>2026-07-30</x:v>
      </x:c>
      <x:c r="G91" s="11" t="n">
        <x:v>701</x:v>
      </x:c>
      <x:c r="H91" s="11" t="n">
        <x:v>701</x:v>
      </x:c>
      <x:c r="I91" s="16" t="b">
        <x:v>1</x:v>
      </x:c>
      <x:c r="J91" s="11" t="str">
        <x:v>Consumible</x:v>
      </x:c>
      <x:c r="K91" s="11" t="n">
        <x:v>84</x:v>
      </x:c>
    </x:row>
    <x:row r="92">
      <x:c r="A92" s="11" t="n">
        <x:v>91</x:v>
      </x:c>
      <x:c r="B92" s="11" t="str">
        <x:v>PO-10091</x:v>
      </x:c>
      <x:c r="C92" s="11" t="str">
        <x:v>S003</x:v>
      </x:c>
      <x:c r="D92" s="11" t="str">
        <x:v>Proveedor Bajío</x:v>
      </x:c>
      <x:c r="E92" s="11" t="str">
        <x:v>2026-07-30</x:v>
      </x:c>
      <x:c r="F92" s="11" t="str">
        <x:v>2026-07-30</x:v>
      </x:c>
      <x:c r="G92" s="11" t="n">
        <x:v>803</x:v>
      </x:c>
      <x:c r="H92" s="11" t="n">
        <x:v>792</x:v>
      </x:c>
      <x:c r="I92" s="16" t="b">
        <x:v>1</x:v>
      </x:c>
      <x:c r="J92" s="11" t="str">
        <x:v>Materia prima</x:v>
      </x:c>
      <x:c r="K92" s="11" t="n">
        <x:v>75</x:v>
      </x:c>
    </x:row>
    <x:row r="93">
      <x:c r="A93" s="11" t="n">
        <x:v>92</x:v>
      </x:c>
      <x:c r="B93" s="11" t="str">
        <x:v>PO-10092</x:v>
      </x:c>
      <x:c r="C93" s="11" t="str">
        <x:v>S001</x:v>
      </x:c>
      <x:c r="D93" s="11" t="str">
        <x:v>Proveedor Norte</x:v>
      </x:c>
      <x:c r="E93" s="11" t="str">
        <x:v>2026-07-30</x:v>
      </x:c>
      <x:c r="F93" s="11" t="str">
        <x:v>2026-07-30</x:v>
      </x:c>
      <x:c r="G93" s="11" t="n">
        <x:v>885</x:v>
      </x:c>
      <x:c r="H93" s="11" t="n">
        <x:v>787</x:v>
      </x:c>
      <x:c r="I93" s="16" t="b">
        <x:v>1</x:v>
      </x:c>
      <x:c r="J93" s="11" t="str">
        <x:v>Consumible</x:v>
      </x:c>
      <x:c r="K93" s="11" t="n">
        <x:v>76</x:v>
      </x:c>
    </x:row>
    <x:row r="94">
      <x:c r="A94" s="11" t="n">
        <x:v>93</x:v>
      </x:c>
      <x:c r="B94" s="11" t="str">
        <x:v>PO-10093</x:v>
      </x:c>
      <x:c r="C94" s="11" t="str">
        <x:v>S004</x:v>
      </x:c>
      <x:c r="D94" s="11" t="str">
        <x:v>Proveedor Valle</x:v>
      </x:c>
      <x:c r="E94" s="11" t="str">
        <x:v>2026-07-30</x:v>
      </x:c>
      <x:c r="F94" s="11" t="str">
        <x:v>2026-07-30</x:v>
      </x:c>
      <x:c r="G94" s="11" t="n">
        <x:v>173</x:v>
      </x:c>
      <x:c r="H94" s="11" t="n">
        <x:v>173</x:v>
      </x:c>
      <x:c r="I94" s="16" t="b">
        <x:v>1</x:v>
      </x:c>
      <x:c r="J94" s="11" t="str">
        <x:v>Refacción</x:v>
      </x:c>
      <x:c r="K94" s="11" t="n">
        <x:v>110</x:v>
      </x:c>
    </x:row>
    <x:row r="95">
      <x:c r="A95" s="11" t="n">
        <x:v>94</x:v>
      </x:c>
      <x:c r="B95" s="11" t="str">
        <x:v>PO-10094</x:v>
      </x:c>
      <x:c r="C95" s="11" t="str">
        <x:v>S004</x:v>
      </x:c>
      <x:c r="D95" s="11" t="str">
        <x:v>Proveedor Valle</x:v>
      </x:c>
      <x:c r="E95" s="11" t="str">
        <x:v>2026-07-31</x:v>
      </x:c>
      <x:c r="F95" s="11" t="str">
        <x:v>2026-07-31</x:v>
      </x:c>
      <x:c r="G95" s="11" t="n">
        <x:v>982</x:v>
      </x:c>
      <x:c r="H95" s="11" t="n">
        <x:v>958</x:v>
      </x:c>
      <x:c r="I95" s="16" t="b">
        <x:v>1</x:v>
      </x:c>
      <x:c r="J95" s="11" t="str">
        <x:v>Consumible</x:v>
      </x:c>
      <x:c r="K95" s="11" t="n">
        <x:v>82</x:v>
      </x:c>
    </x:row>
    <x:row r="96">
      <x:c r="A96" s="11" t="n">
        <x:v>95</x:v>
      </x:c>
      <x:c r="B96" s="11" t="str">
        <x:v>PO-10095</x:v>
      </x:c>
      <x:c r="C96" s="11" t="str">
        <x:v>S001</x:v>
      </x:c>
      <x:c r="D96" s="11" t="str">
        <x:v>Proveedor Norte</x:v>
      </x:c>
      <x:c r="E96" s="11" t="str">
        <x:v>2026-07-31</x:v>
      </x:c>
      <x:c r="F96" s="11" t="str">
        <x:v>2026-07-31</x:v>
      </x:c>
      <x:c r="G96" s="11" t="n">
        <x:v>1104</x:v>
      </x:c>
      <x:c r="H96" s="11" t="n">
        <x:v>1005</x:v>
      </x:c>
      <x:c r="I96" s="16" t="b">
        <x:v>1</x:v>
      </x:c>
      <x:c r="J96" s="11" t="str">
        <x:v>Consumible</x:v>
      </x:c>
      <x:c r="K96" s="11" t="n">
        <x:v>91</x:v>
      </x:c>
    </x:row>
    <x:row r="97">
      <x:c r="A97" s="11" t="n">
        <x:v>96</x:v>
      </x:c>
      <x:c r="B97" s="11" t="str">
        <x:v>PO-10096</x:v>
      </x:c>
      <x:c r="C97" s="11" t="str">
        <x:v>S002</x:v>
      </x:c>
      <x:c r="D97" s="11" t="str">
        <x:v>Proveedor Centro</x:v>
      </x:c>
      <x:c r="E97" s="11" t="str">
        <x:v>2026-07-31</x:v>
      </x:c>
      <x:c r="F97" s="11" t="str">
        <x:v>2026-07-31</x:v>
      </x:c>
      <x:c r="G97" s="11" t="n">
        <x:v>1137</x:v>
      </x:c>
      <x:c r="H97" s="11" t="n">
        <x:v>1003</x:v>
      </x:c>
      <x:c r="I97" s="16" t="b">
        <x:v>1</x:v>
      </x:c>
      <x:c r="J97" s="11" t="str">
        <x:v>Refacción</x:v>
      </x:c>
      <x:c r="K97" s="11" t="n">
        <x:v>83</x:v>
      </x:c>
    </x:row>
    <x:row r="98">
      <x:c r="A98" s="11" t="n">
        <x:v>97</x:v>
      </x:c>
      <x:c r="B98" s="11" t="str">
        <x:v>PO-10097</x:v>
      </x:c>
      <x:c r="C98" s="11" t="str">
        <x:v>S003</x:v>
      </x:c>
      <x:c r="D98" s="11" t="str">
        <x:v>Proveedor Bajío</x:v>
      </x:c>
      <x:c r="E98" s="11" t="str">
        <x:v>2026-08-01</x:v>
      </x:c>
      <x:c r="F98" s="11" t="str">
        <x:v>2026-08-01</x:v>
      </x:c>
      <x:c r="G98" s="11" t="n">
        <x:v>682</x:v>
      </x:c>
      <x:c r="H98" s="11" t="n">
        <x:v>650</x:v>
      </x:c>
      <x:c r="I98" s="16" t="b">
        <x:v>1</x:v>
      </x:c>
      <x:c r="J98" s="11" t="str">
        <x:v>Refacción</x:v>
      </x:c>
      <x:c r="K98" s="11" t="n">
        <x:v>64</x:v>
      </x:c>
    </x:row>
    <x:row r="99">
      <x:c r="A99" s="11" t="n">
        <x:v>98</x:v>
      </x:c>
      <x:c r="B99" s="11" t="str">
        <x:v>PO-10098</x:v>
      </x:c>
      <x:c r="C99" s="11" t="str">
        <x:v>S001</x:v>
      </x:c>
      <x:c r="D99" s="11" t="str">
        <x:v>Proveedor Norte</x:v>
      </x:c>
      <x:c r="E99" s="11" t="str">
        <x:v>2026-08-01</x:v>
      </x:c>
      <x:c r="F99" s="11" t="str">
        <x:v>2026-08-01</x:v>
      </x:c>
      <x:c r="G99" s="11" t="n">
        <x:v>798</x:v>
      </x:c>
      <x:c r="H99" s="11" t="n">
        <x:v>776</x:v>
      </x:c>
      <x:c r="I99" s="16" t="b">
        <x:v>1</x:v>
      </x:c>
      <x:c r="J99" s="11" t="str">
        <x:v>Consumible</x:v>
      </x:c>
      <x:c r="K99" s="11" t="n">
        <x:v>64</x:v>
      </x:c>
    </x:row>
    <x:row r="100">
      <x:c r="A100" s="11" t="n">
        <x:v>99</x:v>
      </x:c>
      <x:c r="B100" s="11" t="str">
        <x:v>PO-10099</x:v>
      </x:c>
      <x:c r="C100" s="11" t="str">
        <x:v>S003</x:v>
      </x:c>
      <x:c r="D100" s="11" t="str">
        <x:v>Proveedor Bajío</x:v>
      </x:c>
      <x:c r="E100" s="11" t="str">
        <x:v>2026-08-01</x:v>
      </x:c>
      <x:c r="F100" s="11" t="str">
        <x:v>2026-08-01</x:v>
      </x:c>
      <x:c r="G100" s="11" t="n">
        <x:v>943</x:v>
      </x:c>
      <x:c r="H100" s="11" t="n">
        <x:v>855</x:v>
      </x:c>
      <x:c r="I100" s="16" t="b">
        <x:v>1</x:v>
      </x:c>
      <x:c r="J100" s="11" t="str">
        <x:v>Refacción</x:v>
      </x:c>
      <x:c r="K100" s="11" t="n">
        <x:v>95</x:v>
      </x:c>
    </x:row>
    <x:row r="101">
      <x:c r="A101" s="11" t="n">
        <x:v>100</x:v>
      </x:c>
      <x:c r="B101" s="11" t="str">
        <x:v>PO-10100</x:v>
      </x:c>
      <x:c r="C101" s="11" t="str">
        <x:v>S001</x:v>
      </x:c>
      <x:c r="D101" s="11" t="str">
        <x:v>Proveedor Norte</x:v>
      </x:c>
      <x:c r="E101" s="11" t="str">
        <x:v>2026-08-01</x:v>
      </x:c>
      <x:c r="F101" s="11" t="str">
        <x:v>2026-08-01</x:v>
      </x:c>
      <x:c r="G101" s="11" t="n">
        <x:v>234</x:v>
      </x:c>
      <x:c r="H101" s="11" t="n">
        <x:v>234</x:v>
      </x:c>
      <x:c r="I101" s="16" t="b">
        <x:v>1</x:v>
      </x:c>
      <x:c r="J101" s="11" t="str">
        <x:v>Materia prima</x:v>
      </x:c>
      <x:c r="K101" s="11" t="n">
        <x:v>63</x:v>
      </x:c>
    </x:row>
    <x:row r="102">
      <x:c r="A102" s="11" t="n">
        <x:v>101</x:v>
      </x:c>
      <x:c r="B102" s="11" t="str">
        <x:v>PO-10101</x:v>
      </x:c>
      <x:c r="C102" s="11" t="str">
        <x:v>S002</x:v>
      </x:c>
      <x:c r="D102" s="11" t="str">
        <x:v>Proveedor Centro</x:v>
      </x:c>
      <x:c r="E102" s="11" t="str">
        <x:v>2026-08-01</x:v>
      </x:c>
      <x:c r="F102" s="11" t="str">
        <x:v>2026-08-01</x:v>
      </x:c>
      <x:c r="G102" s="11" t="n">
        <x:v>140</x:v>
      </x:c>
      <x:c r="H102" s="11" t="n">
        <x:v>132</x:v>
      </x:c>
      <x:c r="I102" s="16" t="b">
        <x:v>1</x:v>
      </x:c>
      <x:c r="J102" s="11" t="str">
        <x:v>Consumible</x:v>
      </x:c>
      <x:c r="K102" s="11" t="n">
        <x:v>92</x:v>
      </x:c>
    </x:row>
    <x:row r="103">
      <x:c r="A103" s="11" t="n">
        <x:v>102</x:v>
      </x:c>
      <x:c r="B103" s="11" t="str">
        <x:v>PO-10102</x:v>
      </x:c>
      <x:c r="C103" s="11" t="str">
        <x:v>S003</x:v>
      </x:c>
      <x:c r="D103" s="11" t="str">
        <x:v>Proveedor Bajío</x:v>
      </x:c>
      <x:c r="E103" s="11" t="str">
        <x:v>2026-08-03</x:v>
      </x:c>
      <x:c r="F103" s="11" t="str">
        <x:v>2026-08-03</x:v>
      </x:c>
      <x:c r="G103" s="11" t="n">
        <x:v>141</x:v>
      </x:c>
      <x:c r="H103" s="11" t="n">
        <x:v>134</x:v>
      </x:c>
      <x:c r="I103" s="16" t="b">
        <x:v>1</x:v>
      </x:c>
      <x:c r="J103" s="11" t="str">
        <x:v>Materia prima</x:v>
      </x:c>
      <x:c r="K103" s="11" t="n">
        <x:v>60</x:v>
      </x:c>
    </x:row>
    <x:row r="104">
      <x:c r="A104" s="11" t="n">
        <x:v>103</x:v>
      </x:c>
      <x:c r="B104" s="11" t="str">
        <x:v>PO-10103</x:v>
      </x:c>
      <x:c r="C104" s="11" t="str">
        <x:v>S004</x:v>
      </x:c>
      <x:c r="D104" s="11" t="str">
        <x:v>Proveedor Valle</x:v>
      </x:c>
      <x:c r="E104" s="11" t="str">
        <x:v>2026-08-03</x:v>
      </x:c>
      <x:c r="F104" s="11" t="str">
        <x:v>2026-08-03</x:v>
      </x:c>
      <x:c r="G104" s="11" t="n">
        <x:v>899</x:v>
      </x:c>
      <x:c r="H104" s="11" t="n">
        <x:v>852</x:v>
      </x:c>
      <x:c r="I104" s="16" t="b">
        <x:v>1</x:v>
      </x:c>
      <x:c r="J104" s="11" t="str">
        <x:v>Empaque</x:v>
      </x:c>
      <x:c r="K104" s="11" t="n">
        <x:v>63</x:v>
      </x:c>
    </x:row>
    <x:row r="105">
      <x:c r="A105" s="11" t="n">
        <x:v>104</x:v>
      </x:c>
      <x:c r="B105" s="11" t="str">
        <x:v>PO-10104</x:v>
      </x:c>
      <x:c r="C105" s="11" t="str">
        <x:v>S004</x:v>
      </x:c>
      <x:c r="D105" s="11" t="str">
        <x:v>Proveedor Valle</x:v>
      </x:c>
      <x:c r="E105" s="11" t="str">
        <x:v>2026-08-03</x:v>
      </x:c>
      <x:c r="F105" s="11" t="str">
        <x:v>2026-08-03</x:v>
      </x:c>
      <x:c r="G105" s="11" t="n">
        <x:v>1129</x:v>
      </x:c>
      <x:c r="H105" s="11" t="n">
        <x:v>1111</x:v>
      </x:c>
      <x:c r="I105" s="16" t="b">
        <x:v>1</x:v>
      </x:c>
      <x:c r="J105" s="11" t="str">
        <x:v>Refacción</x:v>
      </x:c>
      <x:c r="K105" s="11" t="n">
        <x:v>41</x:v>
      </x:c>
    </x:row>
    <x:row r="106">
      <x:c r="A106" s="11" t="n">
        <x:v>105</x:v>
      </x:c>
      <x:c r="B106" s="11" t="str">
        <x:v>PO-10105</x:v>
      </x:c>
      <x:c r="C106" s="11" t="str">
        <x:v>S003</x:v>
      </x:c>
      <x:c r="D106" s="11" t="str">
        <x:v>Proveedor Bajío</x:v>
      </x:c>
      <x:c r="E106" s="11" t="str">
        <x:v>2026-08-03</x:v>
      </x:c>
      <x:c r="F106" s="11" t="str">
        <x:v>2026-08-03</x:v>
      </x:c>
      <x:c r="G106" s="11" t="n">
        <x:v>844</x:v>
      </x:c>
      <x:c r="H106" s="11" t="n">
        <x:v>843</x:v>
      </x:c>
      <x:c r="I106" s="16" t="b">
        <x:v>1</x:v>
      </x:c>
      <x:c r="J106" s="11" t="str">
        <x:v>Materia prima</x:v>
      </x:c>
      <x:c r="K106" s="11" t="n">
        <x:v>88</x:v>
      </x:c>
    </x:row>
    <x:row r="107">
      <x:c r="A107" s="11" t="n">
        <x:v>106</x:v>
      </x:c>
      <x:c r="B107" s="11" t="str">
        <x:v>PO-10106</x:v>
      </x:c>
      <x:c r="C107" s="11" t="str">
        <x:v>S002</x:v>
      </x:c>
      <x:c r="D107" s="11" t="str">
        <x:v>Proveedor Centro</x:v>
      </x:c>
      <x:c r="E107" s="11" t="str">
        <x:v>2026-08-03</x:v>
      </x:c>
      <x:c r="F107" s="11" t="str">
        <x:v>2026-08-03</x:v>
      </x:c>
      <x:c r="G107" s="11" t="n">
        <x:v>688</x:v>
      </x:c>
      <x:c r="H107" s="11" t="n">
        <x:v>655</x:v>
      </x:c>
      <x:c r="I107" s="16" t="b">
        <x:v>1</x:v>
      </x:c>
      <x:c r="J107" s="11" t="str">
        <x:v>Refacción</x:v>
      </x:c>
      <x:c r="K107" s="11" t="n">
        <x:v>93</x:v>
      </x:c>
    </x:row>
    <x:row r="108">
      <x:c r="A108" s="11" t="n">
        <x:v>107</x:v>
      </x:c>
      <x:c r="B108" s="11" t="str">
        <x:v>PO-10107</x:v>
      </x:c>
      <x:c r="C108" s="11" t="str">
        <x:v>S002</x:v>
      </x:c>
      <x:c r="D108" s="11" t="str">
        <x:v>Proveedor Centro</x:v>
      </x:c>
      <x:c r="E108" s="11" t="str">
        <x:v>2026-08-04</x:v>
      </x:c>
      <x:c r="F108" s="11" t="str">
        <x:v>2026-08-04</x:v>
      </x:c>
      <x:c r="G108" s="11" t="n">
        <x:v>288</x:v>
      </x:c>
      <x:c r="H108" s="11" t="n">
        <x:v>271</x:v>
      </x:c>
      <x:c r="I108" s="16" t="b">
        <x:v>1</x:v>
      </x:c>
      <x:c r="J108" s="11" t="str">
        <x:v>Refacción</x:v>
      </x:c>
      <x:c r="K108" s="11" t="n">
        <x:v>28</x:v>
      </x:c>
    </x:row>
    <x:row r="109">
      <x:c r="A109" s="11" t="n">
        <x:v>108</x:v>
      </x:c>
      <x:c r="B109" s="11" t="str">
        <x:v>PO-10108</x:v>
      </x:c>
      <x:c r="C109" s="11" t="str">
        <x:v>S004</x:v>
      </x:c>
      <x:c r="D109" s="11" t="str">
        <x:v>Proveedor Valle</x:v>
      </x:c>
      <x:c r="E109" s="11" t="str">
        <x:v>2026-08-04</x:v>
      </x:c>
      <x:c r="F109" s="11" t="str">
        <x:v>2026-08-04</x:v>
      </x:c>
      <x:c r="G109" s="11" t="n">
        <x:v>974</x:v>
      </x:c>
      <x:c r="H109" s="11" t="n">
        <x:v>859</x:v>
      </x:c>
      <x:c r="I109" s="16" t="b">
        <x:v>1</x:v>
      </x:c>
      <x:c r="J109" s="11" t="str">
        <x:v>Materia prima</x:v>
      </x:c>
      <x:c r="K109" s="11" t="n">
        <x:v>103</x:v>
      </x:c>
    </x:row>
    <x:row r="110">
      <x:c r="A110" s="11" t="n">
        <x:v>109</x:v>
      </x:c>
      <x:c r="B110" s="11" t="str">
        <x:v>PO-10109</x:v>
      </x:c>
      <x:c r="C110" s="11" t="str">
        <x:v>S003</x:v>
      </x:c>
      <x:c r="D110" s="11" t="str">
        <x:v>Proveedor Bajío</x:v>
      </x:c>
      <x:c r="E110" s="11" t="str">
        <x:v>2026-08-04</x:v>
      </x:c>
      <x:c r="F110" s="11" t="str">
        <x:v>2026-08-04</x:v>
      </x:c>
      <x:c r="G110" s="11" t="n">
        <x:v>1133</x:v>
      </x:c>
      <x:c r="H110" s="11" t="n">
        <x:v>1111</x:v>
      </x:c>
      <x:c r="I110" s="16" t="b">
        <x:v>1</x:v>
      </x:c>
      <x:c r="J110" s="11" t="str">
        <x:v>Empaque</x:v>
      </x:c>
      <x:c r="K110" s="11" t="n">
        <x:v>73</x:v>
      </x:c>
    </x:row>
    <x:row r="111">
      <x:c r="A111" s="11" t="n">
        <x:v>110</x:v>
      </x:c>
      <x:c r="B111" s="11" t="str">
        <x:v>PO-10110</x:v>
      </x:c>
      <x:c r="C111" s="11" t="str">
        <x:v>S004</x:v>
      </x:c>
      <x:c r="D111" s="11" t="str">
        <x:v>Proveedor Valle</x:v>
      </x:c>
      <x:c r="E111" s="11" t="str">
        <x:v>2026-08-04</x:v>
      </x:c>
      <x:c r="F111" s="11" t="str">
        <x:v>2026-08-04</x:v>
      </x:c>
      <x:c r="G111" s="11" t="n">
        <x:v>614</x:v>
      </x:c>
      <x:c r="H111" s="11" t="n">
        <x:v>552</x:v>
      </x:c>
      <x:c r="I111" s="16" t="b">
        <x:v>1</x:v>
      </x:c>
      <x:c r="J111" s="11" t="str">
        <x:v>Consumible</x:v>
      </x:c>
      <x:c r="K111" s="11" t="n">
        <x:v>105</x:v>
      </x:c>
    </x:row>
    <x:row r="112">
      <x:c r="A112" s="11" t="n">
        <x:v>111</x:v>
      </x:c>
      <x:c r="B112" s="11" t="str">
        <x:v>PO-10111</x:v>
      </x:c>
      <x:c r="C112" s="11" t="str">
        <x:v>S002</x:v>
      </x:c>
      <x:c r="D112" s="11" t="str">
        <x:v>Proveedor Centro</x:v>
      </x:c>
      <x:c r="E112" s="11" t="str">
        <x:v>2026-08-04</x:v>
      </x:c>
      <x:c r="F112" s="11" t="str">
        <x:v>2026-08-04</x:v>
      </x:c>
      <x:c r="G112" s="11" t="n">
        <x:v>138</x:v>
      </x:c>
      <x:c r="H112" s="11" t="n">
        <x:v>125</x:v>
      </x:c>
      <x:c r="I112" s="16" t="b">
        <x:v>1</x:v>
      </x:c>
      <x:c r="J112" s="11" t="str">
        <x:v>Consumible</x:v>
      </x:c>
      <x:c r="K112" s="11" t="n">
        <x:v>47</x:v>
      </x:c>
    </x:row>
    <x:row r="113">
      <x:c r="A113" s="11" t="n">
        <x:v>112</x:v>
      </x:c>
      <x:c r="B113" s="11" t="str">
        <x:v>PO-10112</x:v>
      </x:c>
      <x:c r="C113" s="11" t="str">
        <x:v>S003</x:v>
      </x:c>
      <x:c r="D113" s="11" t="str">
        <x:v>Proveedor Bajío</x:v>
      </x:c>
      <x:c r="E113" s="11" t="str">
        <x:v>2026-08-05</x:v>
      </x:c>
      <x:c r="F113" s="11" t="str">
        <x:v>2026-08-05</x:v>
      </x:c>
      <x:c r="G113" s="11" t="n">
        <x:v>1191</x:v>
      </x:c>
      <x:c r="H113" s="11" t="n">
        <x:v>1081</x:v>
      </x:c>
      <x:c r="I113" s="16" t="b">
        <x:v>1</x:v>
      </x:c>
      <x:c r="J113" s="11" t="str">
        <x:v>Consumible</x:v>
      </x:c>
      <x:c r="K113" s="11" t="n">
        <x:v>92</x:v>
      </x:c>
    </x:row>
    <x:row r="114">
      <x:c r="A114" s="11" t="n">
        <x:v>113</x:v>
      </x:c>
      <x:c r="B114" s="11" t="str">
        <x:v>PO-10113</x:v>
      </x:c>
      <x:c r="C114" s="11" t="str">
        <x:v>S001</x:v>
      </x:c>
      <x:c r="D114" s="11" t="str">
        <x:v>Proveedor Norte</x:v>
      </x:c>
      <x:c r="E114" s="11" t="str">
        <x:v>2026-08-05</x:v>
      </x:c>
      <x:c r="F114" s="11" t="str">
        <x:v>2026-08-05</x:v>
      </x:c>
      <x:c r="G114" s="11" t="n">
        <x:v>1169</x:v>
      </x:c>
      <x:c r="H114" s="11" t="n">
        <x:v>1146</x:v>
      </x:c>
      <x:c r="I114" s="16" t="b">
        <x:v>1</x:v>
      </x:c>
      <x:c r="J114" s="11" t="str">
        <x:v>Refacción</x:v>
      </x:c>
      <x:c r="K114" s="11" t="n">
        <x:v>75</x:v>
      </x:c>
    </x:row>
    <x:row r="115">
      <x:c r="A115" s="11" t="n">
        <x:v>114</x:v>
      </x:c>
      <x:c r="B115" s="11" t="str">
        <x:v>PO-10114</x:v>
      </x:c>
      <x:c r="C115" s="11" t="str">
        <x:v>S004</x:v>
      </x:c>
      <x:c r="D115" s="11" t="str">
        <x:v>Proveedor Valle</x:v>
      </x:c>
      <x:c r="E115" s="11" t="str">
        <x:v>2026-08-05</x:v>
      </x:c>
      <x:c r="F115" s="11" t="str">
        <x:v>2026-08-05</x:v>
      </x:c>
      <x:c r="G115" s="11" t="n">
        <x:v>752</x:v>
      </x:c>
      <x:c r="H115" s="11" t="n">
        <x:v>752</x:v>
      </x:c>
      <x:c r="I115" s="16" t="b">
        <x:v>1</x:v>
      </x:c>
      <x:c r="J115" s="11" t="str">
        <x:v>Materia prima</x:v>
      </x:c>
      <x:c r="K115" s="11" t="n">
        <x:v>101</x:v>
      </x:c>
    </x:row>
    <x:row r="116">
      <x:c r="A116" s="11" t="n">
        <x:v>115</x:v>
      </x:c>
      <x:c r="B116" s="11" t="str">
        <x:v>PO-10115</x:v>
      </x:c>
      <x:c r="C116" s="11" t="str">
        <x:v>S002</x:v>
      </x:c>
      <x:c r="D116" s="11" t="str">
        <x:v>Proveedor Centro</x:v>
      </x:c>
      <x:c r="E116" s="11" t="str">
        <x:v>2026-08-05</x:v>
      </x:c>
      <x:c r="F116" s="11" t="str">
        <x:v>2026-08-05</x:v>
      </x:c>
      <x:c r="G116" s="11" t="n">
        <x:v>944</x:v>
      </x:c>
      <x:c r="H116" s="11" t="n">
        <x:v>901</x:v>
      </x:c>
      <x:c r="I116" s="16" t="b">
        <x:v>1</x:v>
      </x:c>
      <x:c r="J116" s="11" t="str">
        <x:v>Empaque</x:v>
      </x:c>
      <x:c r="K116" s="11" t="n">
        <x:v>71</x:v>
      </x:c>
    </x:row>
    <x:row r="117">
      <x:c r="A117" s="11" t="n">
        <x:v>116</x:v>
      </x:c>
      <x:c r="B117" s="11" t="str">
        <x:v>PO-10116</x:v>
      </x:c>
      <x:c r="C117" s="11" t="str">
        <x:v>S002</x:v>
      </x:c>
      <x:c r="D117" s="11" t="str">
        <x:v>Proveedor Centro</x:v>
      </x:c>
      <x:c r="E117" s="11" t="str">
        <x:v>2026-08-05</x:v>
      </x:c>
      <x:c r="F117" s="11" t="str">
        <x:v>2026-08-05</x:v>
      </x:c>
      <x:c r="G117" s="11" t="n">
        <x:v>332</x:v>
      </x:c>
      <x:c r="H117" s="11" t="n">
        <x:v>332</x:v>
      </x:c>
      <x:c r="I117" s="16" t="b">
        <x:v>1</x:v>
      </x:c>
      <x:c r="J117" s="11" t="str">
        <x:v>Materia prima</x:v>
      </x:c>
      <x:c r="K117" s="11" t="n">
        <x:v>51</x:v>
      </x:c>
    </x:row>
    <x:row r="118">
      <x:c r="A118" s="11" t="n">
        <x:v>117</x:v>
      </x:c>
      <x:c r="B118" s="11" t="str">
        <x:v>PO-10117</x:v>
      </x:c>
      <x:c r="C118" s="11" t="str">
        <x:v>S004</x:v>
      </x:c>
      <x:c r="D118" s="11" t="str">
        <x:v>Proveedor Valle</x:v>
      </x:c>
      <x:c r="E118" s="11" t="str">
        <x:v>2026-08-06</x:v>
      </x:c>
      <x:c r="F118" s="11" t="str">
        <x:v>2026-08-06</x:v>
      </x:c>
      <x:c r="G118" s="11" t="n">
        <x:v>1094</x:v>
      </x:c>
      <x:c r="H118" s="11" t="n">
        <x:v>984</x:v>
      </x:c>
      <x:c r="I118" s="16" t="b">
        <x:v>1</x:v>
      </x:c>
      <x:c r="J118" s="11" t="str">
        <x:v>Materia prima</x:v>
      </x:c>
      <x:c r="K118" s="11" t="n">
        <x:v>45</x:v>
      </x:c>
    </x:row>
    <x:row r="119">
      <x:c r="A119" s="11" t="n">
        <x:v>118</x:v>
      </x:c>
      <x:c r="B119" s="11" t="str">
        <x:v>PO-10118</x:v>
      </x:c>
      <x:c r="C119" s="11" t="str">
        <x:v>S002</x:v>
      </x:c>
      <x:c r="D119" s="11" t="str">
        <x:v>Proveedor Centro</x:v>
      </x:c>
      <x:c r="E119" s="11" t="str">
        <x:v>2026-08-06</x:v>
      </x:c>
      <x:c r="F119" s="11" t="str">
        <x:v>2026-08-06</x:v>
      </x:c>
      <x:c r="G119" s="11" t="n">
        <x:v>658</x:v>
      </x:c>
      <x:c r="H119" s="11" t="n">
        <x:v>616</x:v>
      </x:c>
      <x:c r="I119" s="16" t="b">
        <x:v>1</x:v>
      </x:c>
      <x:c r="J119" s="11" t="str">
        <x:v>Refacción</x:v>
      </x:c>
      <x:c r="K119" s="11" t="n">
        <x:v>55</x:v>
      </x:c>
    </x:row>
    <x:row r="120">
      <x:c r="A120" s="11" t="n">
        <x:v>119</x:v>
      </x:c>
      <x:c r="B120" s="11" t="str">
        <x:v>PO-10119</x:v>
      </x:c>
      <x:c r="C120" s="11" t="str">
        <x:v>S002</x:v>
      </x:c>
      <x:c r="D120" s="11" t="str">
        <x:v>Proveedor Centro</x:v>
      </x:c>
      <x:c r="E120" s="11" t="str">
        <x:v>2026-08-06</x:v>
      </x:c>
      <x:c r="F120" s="11" t="str">
        <x:v>2026-08-06</x:v>
      </x:c>
      <x:c r="G120" s="11" t="n">
        <x:v>186</x:v>
      </x:c>
      <x:c r="H120" s="11" t="n">
        <x:v>186</x:v>
      </x:c>
      <x:c r="I120" s="16" t="b">
        <x:v>1</x:v>
      </x:c>
      <x:c r="J120" s="11" t="str">
        <x:v>Materia prima</x:v>
      </x:c>
      <x:c r="K120" s="11" t="n">
        <x:v>60</x:v>
      </x:c>
    </x:row>
    <x:row r="121">
      <x:c r="A121" s="11" t="n">
        <x:v>120</x:v>
      </x:c>
      <x:c r="B121" s="11" t="str">
        <x:v>PO-10120</x:v>
      </x:c>
      <x:c r="C121" s="11" t="str">
        <x:v>S003</x:v>
      </x:c>
      <x:c r="D121" s="11" t="str">
        <x:v>Proveedor Bajío</x:v>
      </x:c>
      <x:c r="E121" s="11" t="str">
        <x:v>2026-08-06</x:v>
      </x:c>
      <x:c r="F121" s="11" t="str">
        <x:v>2026-08-06</x:v>
      </x:c>
      <x:c r="G121" s="11" t="n">
        <x:v>230</x:v>
      </x:c>
      <x:c r="H121" s="11" t="n">
        <x:v>217</x:v>
      </x:c>
      <x:c r="I121" s="16" t="b">
        <x:v>1</x:v>
      </x:c>
      <x:c r="J121" s="11" t="str">
        <x:v>Consumible</x:v>
      </x:c>
      <x:c r="K121" s="11" t="n">
        <x:v>66</x:v>
      </x:c>
    </x:row>
    <x:row r="122">
      <x:c r="A122" s="11" t="n">
        <x:v>121</x:v>
      </x:c>
      <x:c r="B122" s="11" t="str">
        <x:v>PO-10121</x:v>
      </x:c>
      <x:c r="C122" s="11" t="str">
        <x:v>S004</x:v>
      </x:c>
      <x:c r="D122" s="11" t="str">
        <x:v>Proveedor Valle</x:v>
      </x:c>
      <x:c r="E122" s="11" t="str">
        <x:v>2026-08-07</x:v>
      </x:c>
      <x:c r="F122" s="11" t="str">
        <x:v>2026-08-07</x:v>
      </x:c>
      <x:c r="G122" s="11" t="n">
        <x:v>387</x:v>
      </x:c>
      <x:c r="H122" s="11" t="n">
        <x:v>374</x:v>
      </x:c>
      <x:c r="I122" s="16" t="b">
        <x:v>1</x:v>
      </x:c>
      <x:c r="J122" s="11" t="str">
        <x:v>Materia prima</x:v>
      </x:c>
      <x:c r="K122" s="11" t="n">
        <x:v>86</x:v>
      </x:c>
    </x:row>
    <x:row r="123">
      <x:c r="A123" s="11" t="n">
        <x:v>122</x:v>
      </x:c>
      <x:c r="B123" s="11" t="str">
        <x:v>PO-10122</x:v>
      </x:c>
      <x:c r="C123" s="11" t="str">
        <x:v>S003</x:v>
      </x:c>
      <x:c r="D123" s="11" t="str">
        <x:v>Proveedor Bajío</x:v>
      </x:c>
      <x:c r="E123" s="11" t="str">
        <x:v>2026-08-07</x:v>
      </x:c>
      <x:c r="F123" s="11" t="str">
        <x:v>2026-08-07</x:v>
      </x:c>
      <x:c r="G123" s="11" t="n">
        <x:v>1116</x:v>
      </x:c>
      <x:c r="H123" s="11" t="n">
        <x:v>1116</x:v>
      </x:c>
      <x:c r="I123" s="16" t="b">
        <x:v>1</x:v>
      </x:c>
      <x:c r="J123" s="11" t="str">
        <x:v>Empaque</x:v>
      </x:c>
      <x:c r="K123" s="11" t="n">
        <x:v>96</x:v>
      </x:c>
    </x:row>
    <x:row r="124">
      <x:c r="A124" s="11" t="n">
        <x:v>123</x:v>
      </x:c>
      <x:c r="B124" s="11" t="str">
        <x:v>PO-10123</x:v>
      </x:c>
      <x:c r="C124" s="11" t="str">
        <x:v>S003</x:v>
      </x:c>
      <x:c r="D124" s="11" t="str">
        <x:v>Proveedor Bajío</x:v>
      </x:c>
      <x:c r="E124" s="11" t="str">
        <x:v>2026-08-08</x:v>
      </x:c>
      <x:c r="F124" s="11" t="str">
        <x:v>2026-08-08</x:v>
      </x:c>
      <x:c r="G124" s="11" t="n">
        <x:v>774</x:v>
      </x:c>
      <x:c r="H124" s="11" t="n">
        <x:v>774</x:v>
      </x:c>
      <x:c r="I124" s="16" t="b">
        <x:v>1</x:v>
      </x:c>
      <x:c r="J124" s="11" t="str">
        <x:v>Empaque</x:v>
      </x:c>
      <x:c r="K124" s="11" t="n">
        <x:v>74</x:v>
      </x:c>
    </x:row>
    <x:row r="125">
      <x:c r="A125" s="11" t="n">
        <x:v>124</x:v>
      </x:c>
      <x:c r="B125" s="11" t="str">
        <x:v>PO-10124</x:v>
      </x:c>
      <x:c r="C125" s="11" t="str">
        <x:v>S002</x:v>
      </x:c>
      <x:c r="D125" s="11" t="str">
        <x:v>Proveedor Centro</x:v>
      </x:c>
      <x:c r="E125" s="11" t="str">
        <x:v>2026-08-08</x:v>
      </x:c>
      <x:c r="F125" s="11" t="str">
        <x:v>2026-08-08</x:v>
      </x:c>
      <x:c r="G125" s="11" t="n">
        <x:v>395</x:v>
      </x:c>
      <x:c r="H125" s="11" t="n">
        <x:v>345</x:v>
      </x:c>
      <x:c r="I125" s="16" t="b">
        <x:v>1</x:v>
      </x:c>
      <x:c r="J125" s="11" t="str">
        <x:v>Empaque</x:v>
      </x:c>
      <x:c r="K125" s="11" t="n">
        <x:v>55</x:v>
      </x:c>
    </x:row>
    <x:row r="126">
      <x:c r="A126" s="11" t="n">
        <x:v>125</x:v>
      </x:c>
      <x:c r="B126" s="11" t="str">
        <x:v>PO-10125</x:v>
      </x:c>
      <x:c r="C126" s="11" t="str">
        <x:v>S004</x:v>
      </x:c>
      <x:c r="D126" s="11" t="str">
        <x:v>Proveedor Valle</x:v>
      </x:c>
      <x:c r="E126" s="11" t="str">
        <x:v>2026-08-10</x:v>
      </x:c>
      <x:c r="F126" s="11" t="str">
        <x:v>2026-08-10</x:v>
      </x:c>
      <x:c r="G126" s="11" t="n">
        <x:v>620</x:v>
      </x:c>
      <x:c r="H126" s="11" t="n">
        <x:v>603</x:v>
      </x:c>
      <x:c r="I126" s="16" t="b">
        <x:v>1</x:v>
      </x:c>
      <x:c r="J126" s="11" t="str">
        <x:v>Materia prima</x:v>
      </x:c>
      <x:c r="K126" s="11" t="n">
        <x:v>60</x:v>
      </x:c>
    </x:row>
    <x:row r="127">
      <x:c r="A127" s="11" t="n">
        <x:v>126</x:v>
      </x:c>
      <x:c r="B127" s="11" t="str">
        <x:v>PO-10126</x:v>
      </x:c>
      <x:c r="C127" s="11" t="str">
        <x:v>S004</x:v>
      </x:c>
      <x:c r="D127" s="11" t="str">
        <x:v>Proveedor Valle</x:v>
      </x:c>
      <x:c r="E127" s="11" t="str">
        <x:v>2026-08-10</x:v>
      </x:c>
      <x:c r="F127" s="11" t="str">
        <x:v>2026-08-10</x:v>
      </x:c>
      <x:c r="G127" s="11" t="n">
        <x:v>1072</x:v>
      </x:c>
      <x:c r="H127" s="11" t="n">
        <x:v>1012</x:v>
      </x:c>
      <x:c r="I127" s="16" t="b">
        <x:v>1</x:v>
      </x:c>
      <x:c r="J127" s="11" t="str">
        <x:v>Refacción</x:v>
      </x:c>
      <x:c r="K127" s="11" t="n">
        <x:v>120</x:v>
      </x:c>
    </x:row>
    <x:row r="128">
      <x:c r="A128" s="11" t="n">
        <x:v>127</x:v>
      </x:c>
      <x:c r="B128" s="11" t="str">
        <x:v>PO-10127</x:v>
      </x:c>
      <x:c r="C128" s="11" t="str">
        <x:v>S002</x:v>
      </x:c>
      <x:c r="D128" s="11" t="str">
        <x:v>Proveedor Centro</x:v>
      </x:c>
      <x:c r="E128" s="11" t="str">
        <x:v>2026-08-10</x:v>
      </x:c>
      <x:c r="F128" s="11" t="str">
        <x:v>2026-08-10</x:v>
      </x:c>
      <x:c r="G128" s="11" t="n">
        <x:v>843</x:v>
      </x:c>
      <x:c r="H128" s="11" t="n">
        <x:v>761</x:v>
      </x:c>
      <x:c r="I128" s="16" t="b">
        <x:v>1</x:v>
      </x:c>
      <x:c r="J128" s="11" t="str">
        <x:v>Materia prima</x:v>
      </x:c>
      <x:c r="K128" s="11" t="n">
        <x:v>114</x:v>
      </x:c>
    </x:row>
    <x:row r="129">
      <x:c r="A129" s="11" t="n">
        <x:v>128</x:v>
      </x:c>
      <x:c r="B129" s="11" t="str">
        <x:v>PO-10128</x:v>
      </x:c>
      <x:c r="C129" s="11" t="str">
        <x:v>S001</x:v>
      </x:c>
      <x:c r="D129" s="11" t="str">
        <x:v>Proveedor Norte</x:v>
      </x:c>
      <x:c r="E129" s="11" t="str">
        <x:v>2026-08-10</x:v>
      </x:c>
      <x:c r="F129" s="11" t="str">
        <x:v>2026-08-10</x:v>
      </x:c>
      <x:c r="G129" s="11" t="n">
        <x:v>590</x:v>
      </x:c>
      <x:c r="H129" s="11" t="n">
        <x:v>571</x:v>
      </x:c>
      <x:c r="I129" s="16" t="b">
        <x:v>1</x:v>
      </x:c>
      <x:c r="J129" s="11" t="str">
        <x:v>Consumible</x:v>
      </x:c>
      <x:c r="K129" s="11" t="n">
        <x:v>59</x:v>
      </x:c>
    </x:row>
    <x:row r="130">
      <x:c r="A130" s="11" t="n">
        <x:v>129</x:v>
      </x:c>
      <x:c r="B130" s="11" t="str">
        <x:v>PO-10129</x:v>
      </x:c>
      <x:c r="C130" s="11" t="str">
        <x:v>S003</x:v>
      </x:c>
      <x:c r="D130" s="11" t="str">
        <x:v>Proveedor Bajío</x:v>
      </x:c>
      <x:c r="E130" s="11" t="str">
        <x:v>2026-08-10</x:v>
      </x:c>
      <x:c r="F130" s="11" t="str">
        <x:v>2026-08-10</x:v>
      </x:c>
      <x:c r="G130" s="11" t="n">
        <x:v>349</x:v>
      </x:c>
      <x:c r="H130" s="11" t="n">
        <x:v>320</x:v>
      </x:c>
      <x:c r="I130" s="16" t="b">
        <x:v>1</x:v>
      </x:c>
      <x:c r="J130" s="11" t="str">
        <x:v>Materia prima</x:v>
      </x:c>
      <x:c r="K130" s="11" t="n">
        <x:v>70</x:v>
      </x:c>
    </x:row>
    <x:row r="131">
      <x:c r="A131" s="11" t="n">
        <x:v>130</x:v>
      </x:c>
      <x:c r="B131" s="11" t="str">
        <x:v>PO-10130</x:v>
      </x:c>
      <x:c r="C131" s="11" t="str">
        <x:v>S003</x:v>
      </x:c>
      <x:c r="D131" s="11" t="str">
        <x:v>Proveedor Bajío</x:v>
      </x:c>
      <x:c r="E131" s="11" t="str">
        <x:v>2026-08-11</x:v>
      </x:c>
      <x:c r="F131" s="11" t="str">
        <x:v>2026-08-13</x:v>
      </x:c>
      <x:c r="G131" s="11" t="n">
        <x:v>284</x:v>
      </x:c>
      <x:c r="H131" s="11" t="n">
        <x:v>269</x:v>
      </x:c>
      <x:c r="I131" s="16" t="b">
        <x:v>0</x:v>
      </x:c>
      <x:c r="J131" s="11" t="str">
        <x:v>Refacción</x:v>
      </x:c>
      <x:c r="K131" s="11" t="n">
        <x:v>46</x:v>
      </x:c>
    </x:row>
    <x:row r="132">
      <x:c r="A132" s="11" t="n">
        <x:v>131</x:v>
      </x:c>
      <x:c r="B132" s="11" t="str">
        <x:v>PO-10131</x:v>
      </x:c>
      <x:c r="C132" s="11" t="str">
        <x:v>S002</x:v>
      </x:c>
      <x:c r="D132" s="11" t="str">
        <x:v>Proveedor Centro</x:v>
      </x:c>
      <x:c r="E132" s="11" t="str">
        <x:v>2026-08-11</x:v>
      </x:c>
      <x:c r="F132" s="11" t="str">
        <x:v>2026-08-11</x:v>
      </x:c>
      <x:c r="G132" s="11" t="n">
        <x:v>998</x:v>
      </x:c>
      <x:c r="H132" s="11" t="n">
        <x:v>874</x:v>
      </x:c>
      <x:c r="I132" s="16" t="b">
        <x:v>1</x:v>
      </x:c>
      <x:c r="J132" s="11" t="str">
        <x:v>Consumible</x:v>
      </x:c>
      <x:c r="K132" s="11" t="n">
        <x:v>24</x:v>
      </x:c>
    </x:row>
    <x:row r="133">
      <x:c r="A133" s="11" t="n">
        <x:v>132</x:v>
      </x:c>
      <x:c r="B133" s="11" t="str">
        <x:v>PO-10132</x:v>
      </x:c>
      <x:c r="C133" s="11" t="str">
        <x:v>S003</x:v>
      </x:c>
      <x:c r="D133" s="11" t="str">
        <x:v>Proveedor Bajío</x:v>
      </x:c>
      <x:c r="E133" s="11" t="str">
        <x:v>2026-08-11</x:v>
      </x:c>
      <x:c r="F133" s="11" t="str">
        <x:v>2026-08-11</x:v>
      </x:c>
      <x:c r="G133" s="11" t="n">
        <x:v>264</x:v>
      </x:c>
      <x:c r="H133" s="11" t="n">
        <x:v>229</x:v>
      </x:c>
      <x:c r="I133" s="16" t="b">
        <x:v>1</x:v>
      </x:c>
      <x:c r="J133" s="11" t="str">
        <x:v>Consumible</x:v>
      </x:c>
      <x:c r="K133" s="11" t="n">
        <x:v>80</x:v>
      </x:c>
    </x:row>
    <x:row r="134">
      <x:c r="A134" s="11" t="n">
        <x:v>133</x:v>
      </x:c>
      <x:c r="B134" s="11" t="str">
        <x:v>PO-10133</x:v>
      </x:c>
      <x:c r="C134" s="11" t="str">
        <x:v>S004</x:v>
      </x:c>
      <x:c r="D134" s="11" t="str">
        <x:v>Proveedor Valle</x:v>
      </x:c>
      <x:c r="E134" s="11" t="str">
        <x:v>2026-08-11</x:v>
      </x:c>
      <x:c r="F134" s="11" t="str">
        <x:v>2026-08-11</x:v>
      </x:c>
      <x:c r="G134" s="11" t="n">
        <x:v>781</x:v>
      </x:c>
      <x:c r="H134" s="11" t="n">
        <x:v>730</x:v>
      </x:c>
      <x:c r="I134" s="16" t="b">
        <x:v>1</x:v>
      </x:c>
      <x:c r="J134" s="11" t="str">
        <x:v>Empaque</x:v>
      </x:c>
      <x:c r="K134" s="11" t="n">
        <x:v>109</x:v>
      </x:c>
    </x:row>
    <x:row r="135">
      <x:c r="A135" s="11" t="n">
        <x:v>134</x:v>
      </x:c>
      <x:c r="B135" s="11" t="str">
        <x:v>PO-10134</x:v>
      </x:c>
      <x:c r="C135" s="11" t="str">
        <x:v>S001</x:v>
      </x:c>
      <x:c r="D135" s="11" t="str">
        <x:v>Proveedor Norte</x:v>
      </x:c>
      <x:c r="E135" s="11" t="str">
        <x:v>2026-08-12</x:v>
      </x:c>
      <x:c r="F135" s="11" t="str">
        <x:v>2026-08-12</x:v>
      </x:c>
      <x:c r="G135" s="11" t="n">
        <x:v>820</x:v>
      </x:c>
      <x:c r="H135" s="11" t="n">
        <x:v>688</x:v>
      </x:c>
      <x:c r="I135" s="16" t="b">
        <x:v>1</x:v>
      </x:c>
      <x:c r="J135" s="11" t="str">
        <x:v>Refacción</x:v>
      </x:c>
      <x:c r="K135" s="11" t="n">
        <x:v>78</x:v>
      </x:c>
    </x:row>
    <x:row r="136">
      <x:c r="A136" s="11" t="n">
        <x:v>135</x:v>
      </x:c>
      <x:c r="B136" s="11" t="str">
        <x:v>PO-10135</x:v>
      </x:c>
      <x:c r="C136" s="11" t="str">
        <x:v>S001</x:v>
      </x:c>
      <x:c r="D136" s="11" t="str">
        <x:v>Proveedor Norte</x:v>
      </x:c>
      <x:c r="E136" s="11" t="str">
        <x:v>2026-08-12</x:v>
      </x:c>
      <x:c r="F136" s="11" t="str">
        <x:v>2026-08-12</x:v>
      </x:c>
      <x:c r="G136" s="11" t="n">
        <x:v>206</x:v>
      </x:c>
      <x:c r="H136" s="11" t="n">
        <x:v>192</x:v>
      </x:c>
      <x:c r="I136" s="16" t="b">
        <x:v>1</x:v>
      </x:c>
      <x:c r="J136" s="11" t="str">
        <x:v>Empaque</x:v>
      </x:c>
      <x:c r="K136" s="11" t="n">
        <x:v>20</x:v>
      </x:c>
    </x:row>
    <x:row r="137">
      <x:c r="A137" s="11" t="n">
        <x:v>136</x:v>
      </x:c>
      <x:c r="B137" s="11" t="str">
        <x:v>PO-10136</x:v>
      </x:c>
      <x:c r="C137" s="11" t="str">
        <x:v>S004</x:v>
      </x:c>
      <x:c r="D137" s="11" t="str">
        <x:v>Proveedor Valle</x:v>
      </x:c>
      <x:c r="E137" s="11" t="str">
        <x:v>2026-08-12</x:v>
      </x:c>
      <x:c r="F137" s="11" t="str">
        <x:v>2026-08-12</x:v>
      </x:c>
      <x:c r="G137" s="11" t="n">
        <x:v>509</x:v>
      </x:c>
      <x:c r="H137" s="11" t="n">
        <x:v>473</x:v>
      </x:c>
      <x:c r="I137" s="16" t="b">
        <x:v>1</x:v>
      </x:c>
      <x:c r="J137" s="11" t="str">
        <x:v>Refacción</x:v>
      </x:c>
      <x:c r="K137" s="11" t="n">
        <x:v>93</x:v>
      </x:c>
    </x:row>
    <x:row r="138">
      <x:c r="A138" s="11" t="n">
        <x:v>137</x:v>
      </x:c>
      <x:c r="B138" s="11" t="str">
        <x:v>PO-10137</x:v>
      </x:c>
      <x:c r="C138" s="11" t="str">
        <x:v>S001</x:v>
      </x:c>
      <x:c r="D138" s="11" t="str">
        <x:v>Proveedor Norte</x:v>
      </x:c>
      <x:c r="E138" s="11" t="str">
        <x:v>2026-08-12</x:v>
      </x:c>
      <x:c r="F138" s="11" t="str">
        <x:v>2026-08-14</x:v>
      </x:c>
      <x:c r="G138" s="11" t="n">
        <x:v>326</x:v>
      </x:c>
      <x:c r="H138" s="11" t="n">
        <x:v>325</x:v>
      </x:c>
      <x:c r="I138" s="16" t="b">
        <x:v>0</x:v>
      </x:c>
      <x:c r="J138" s="11" t="str">
        <x:v>Consumible</x:v>
      </x:c>
      <x:c r="K138" s="11" t="n">
        <x:v>60</x:v>
      </x:c>
    </x:row>
    <x:row r="139">
      <x:c r="A139" s="11" t="n">
        <x:v>138</x:v>
      </x:c>
      <x:c r="B139" s="11" t="str">
        <x:v>PO-10138</x:v>
      </x:c>
      <x:c r="C139" s="11" t="str">
        <x:v>S004</x:v>
      </x:c>
      <x:c r="D139" s="11" t="str">
        <x:v>Proveedor Valle</x:v>
      </x:c>
      <x:c r="E139" s="11" t="str">
        <x:v>2026-08-13</x:v>
      </x:c>
      <x:c r="F139" s="11" t="str">
        <x:v>2026-08-13</x:v>
      </x:c>
      <x:c r="G139" s="11" t="n">
        <x:v>373</x:v>
      </x:c>
      <x:c r="H139" s="11" t="n">
        <x:v>373</x:v>
      </x:c>
      <x:c r="I139" s="16" t="b">
        <x:v>1</x:v>
      </x:c>
      <x:c r="J139" s="11" t="str">
        <x:v>Refacción</x:v>
      </x:c>
      <x:c r="K139" s="11" t="n">
        <x:v>56</x:v>
      </x:c>
    </x:row>
    <x:row r="140">
      <x:c r="A140" s="11" t="n">
        <x:v>139</x:v>
      </x:c>
      <x:c r="B140" s="11" t="str">
        <x:v>PO-10139</x:v>
      </x:c>
      <x:c r="C140" s="11" t="str">
        <x:v>S002</x:v>
      </x:c>
      <x:c r="D140" s="11" t="str">
        <x:v>Proveedor Centro</x:v>
      </x:c>
      <x:c r="E140" s="11" t="str">
        <x:v>2026-08-13</x:v>
      </x:c>
      <x:c r="F140" s="11" t="str">
        <x:v>2026-08-13</x:v>
      </x:c>
      <x:c r="G140" s="11" t="n">
        <x:v>272</x:v>
      </x:c>
      <x:c r="H140" s="11" t="n">
        <x:v>252</x:v>
      </x:c>
      <x:c r="I140" s="16" t="b">
        <x:v>1</x:v>
      </x:c>
      <x:c r="J140" s="11" t="str">
        <x:v>Empaque</x:v>
      </x:c>
      <x:c r="K140" s="11" t="n">
        <x:v>22</x:v>
      </x:c>
    </x:row>
    <x:row r="141">
      <x:c r="A141" s="11" t="n">
        <x:v>140</x:v>
      </x:c>
      <x:c r="B141" s="11" t="str">
        <x:v>PO-10140</x:v>
      </x:c>
      <x:c r="C141" s="11" t="str">
        <x:v>S001</x:v>
      </x:c>
      <x:c r="D141" s="11" t="str">
        <x:v>Proveedor Norte</x:v>
      </x:c>
      <x:c r="E141" s="11" t="str">
        <x:v>2026-08-13</x:v>
      </x:c>
      <x:c r="F141" s="11" t="str">
        <x:v>2026-08-13</x:v>
      </x:c>
      <x:c r="G141" s="11" t="n">
        <x:v>568</x:v>
      </x:c>
      <x:c r="H141" s="11" t="n">
        <x:v>556</x:v>
      </x:c>
      <x:c r="I141" s="16" t="b">
        <x:v>1</x:v>
      </x:c>
      <x:c r="J141" s="11" t="str">
        <x:v>Consumible</x:v>
      </x:c>
      <x:c r="K141" s="11" t="n">
        <x:v>45</x:v>
      </x:c>
    </x:row>
    <x:row r="142">
      <x:c r="A142" s="11" t="n">
        <x:v>141</x:v>
      </x:c>
      <x:c r="B142" s="11" t="str">
        <x:v>PO-10141</x:v>
      </x:c>
      <x:c r="C142" s="11" t="str">
        <x:v>S003</x:v>
      </x:c>
      <x:c r="D142" s="11" t="str">
        <x:v>Proveedor Bajío</x:v>
      </x:c>
      <x:c r="E142" s="11" t="str">
        <x:v>2026-08-13</x:v>
      </x:c>
      <x:c r="F142" s="11" t="str">
        <x:v>2026-08-13</x:v>
      </x:c>
      <x:c r="G142" s="11" t="n">
        <x:v>445</x:v>
      </x:c>
      <x:c r="H142" s="11" t="n">
        <x:v>445</x:v>
      </x:c>
      <x:c r="I142" s="16" t="b">
        <x:v>1</x:v>
      </x:c>
      <x:c r="J142" s="11" t="str">
        <x:v>Empaque</x:v>
      </x:c>
      <x:c r="K142" s="11" t="n">
        <x:v>31</x:v>
      </x:c>
    </x:row>
    <x:row r="143">
      <x:c r="A143" s="11" t="n">
        <x:v>142</x:v>
      </x:c>
      <x:c r="B143" s="11" t="str">
        <x:v>PO-10142</x:v>
      </x:c>
      <x:c r="C143" s="11" t="str">
        <x:v>S003</x:v>
      </x:c>
      <x:c r="D143" s="11" t="str">
        <x:v>Proveedor Bajío</x:v>
      </x:c>
      <x:c r="E143" s="11" t="str">
        <x:v>2026-08-13</x:v>
      </x:c>
      <x:c r="F143" s="11" t="str">
        <x:v>2026-08-14</x:v>
      </x:c>
      <x:c r="G143" s="11" t="n">
        <x:v>448</x:v>
      </x:c>
      <x:c r="H143" s="11" t="n">
        <x:v>441</x:v>
      </x:c>
      <x:c r="I143" s="16" t="b">
        <x:v>0</x:v>
      </x:c>
      <x:c r="J143" s="11" t="str">
        <x:v>Materia prima</x:v>
      </x:c>
      <x:c r="K143" s="11" t="n">
        <x:v>111</x:v>
      </x:c>
    </x:row>
    <x:row r="144">
      <x:c r="A144" s="11" t="n">
        <x:v>143</x:v>
      </x:c>
      <x:c r="B144" s="11" t="str">
        <x:v>PO-10143</x:v>
      </x:c>
      <x:c r="C144" s="11" t="str">
        <x:v>S004</x:v>
      </x:c>
      <x:c r="D144" s="11" t="str">
        <x:v>Proveedor Valle</x:v>
      </x:c>
      <x:c r="E144" s="11" t="str">
        <x:v>2026-08-14</x:v>
      </x:c>
      <x:c r="F144" s="11" t="str">
        <x:v>2026-08-14</x:v>
      </x:c>
      <x:c r="G144" s="11" t="n">
        <x:v>1112</x:v>
      </x:c>
      <x:c r="H144" s="11" t="n">
        <x:v>1112</x:v>
      </x:c>
      <x:c r="I144" s="16" t="b">
        <x:v>1</x:v>
      </x:c>
      <x:c r="J144" s="11" t="str">
        <x:v>Refacción</x:v>
      </x:c>
      <x:c r="K144" s="11" t="n">
        <x:v>56</x:v>
      </x:c>
    </x:row>
    <x:row r="145">
      <x:c r="A145" s="11" t="n">
        <x:v>144</x:v>
      </x:c>
      <x:c r="B145" s="11" t="str">
        <x:v>PO-10144</x:v>
      </x:c>
      <x:c r="C145" s="11" t="str">
        <x:v>S004</x:v>
      </x:c>
      <x:c r="D145" s="11" t="str">
        <x:v>Proveedor Valle</x:v>
      </x:c>
      <x:c r="E145" s="11" t="str">
        <x:v>2026-08-14</x:v>
      </x:c>
      <x:c r="F145" s="11" t="str">
        <x:v>2026-08-14</x:v>
      </x:c>
      <x:c r="G145" s="11" t="n">
        <x:v>882</x:v>
      </x:c>
      <x:c r="H145" s="11" t="n">
        <x:v>882</x:v>
      </x:c>
      <x:c r="I145" s="16" t="b">
        <x:v>1</x:v>
      </x:c>
      <x:c r="J145" s="11" t="str">
        <x:v>Empaque</x:v>
      </x:c>
      <x:c r="K145" s="11" t="n">
        <x:v>96</x:v>
      </x:c>
    </x:row>
    <x:row r="146">
      <x:c r="A146" s="11" t="n">
        <x:v>145</x:v>
      </x:c>
      <x:c r="B146" s="11" t="str">
        <x:v>PO-10145</x:v>
      </x:c>
      <x:c r="C146" s="11" t="str">
        <x:v>S002</x:v>
      </x:c>
      <x:c r="D146" s="11" t="str">
        <x:v>Proveedor Centro</x:v>
      </x:c>
      <x:c r="E146" s="11" t="str">
        <x:v>2026-08-14</x:v>
      </x:c>
      <x:c r="F146" s="11" t="str">
        <x:v>2026-08-14</x:v>
      </x:c>
      <x:c r="G146" s="11" t="n">
        <x:v>679</x:v>
      </x:c>
      <x:c r="H146" s="11" t="n">
        <x:v>647</x:v>
      </x:c>
      <x:c r="I146" s="16" t="b">
        <x:v>1</x:v>
      </x:c>
      <x:c r="J146" s="11" t="str">
        <x:v>Empaque</x:v>
      </x:c>
      <x:c r="K146" s="11" t="n">
        <x:v>23</x:v>
      </x:c>
    </x:row>
    <x:row r="147">
      <x:c r="A147" s="11" t="n">
        <x:v>146</x:v>
      </x:c>
      <x:c r="B147" s="11" t="str">
        <x:v>PO-10146</x:v>
      </x:c>
      <x:c r="C147" s="11" t="str">
        <x:v>S003</x:v>
      </x:c>
      <x:c r="D147" s="11" t="str">
        <x:v>Proveedor Bajío</x:v>
      </x:c>
      <x:c r="E147" s="11" t="str">
        <x:v>2026-08-14</x:v>
      </x:c>
      <x:c r="F147" s="11" t="str">
        <x:v>2026-08-14</x:v>
      </x:c>
      <x:c r="G147" s="11" t="n">
        <x:v>636</x:v>
      </x:c>
      <x:c r="H147" s="11" t="n">
        <x:v>586</x:v>
      </x:c>
      <x:c r="I147" s="16" t="b">
        <x:v>1</x:v>
      </x:c>
      <x:c r="J147" s="11" t="str">
        <x:v>Consumible</x:v>
      </x:c>
      <x:c r="K147" s="11" t="n">
        <x:v>51</x:v>
      </x:c>
    </x:row>
    <x:row r="148">
      <x:c r="A148" s="11" t="n">
        <x:v>147</x:v>
      </x:c>
      <x:c r="B148" s="11" t="str">
        <x:v>PO-10147</x:v>
      </x:c>
      <x:c r="C148" s="11" t="str">
        <x:v>S003</x:v>
      </x:c>
      <x:c r="D148" s="11" t="str">
        <x:v>Proveedor Bajío</x:v>
      </x:c>
      <x:c r="E148" s="11" t="str">
        <x:v>2026-08-14</x:v>
      </x:c>
      <x:c r="F148" s="11" t="str">
        <x:v>2026-08-14</x:v>
      </x:c>
      <x:c r="G148" s="11" t="n">
        <x:v>1038</x:v>
      </x:c>
      <x:c r="H148" s="11" t="n">
        <x:v>1038</x:v>
      </x:c>
      <x:c r="I148" s="16" t="b">
        <x:v>1</x:v>
      </x:c>
      <x:c r="J148" s="11" t="str">
        <x:v>Consumible</x:v>
      </x:c>
      <x:c r="K148" s="11" t="n">
        <x:v>107</x:v>
      </x:c>
    </x:row>
    <x:row r="149">
      <x:c r="A149" s="11" t="n">
        <x:v>148</x:v>
      </x:c>
      <x:c r="B149" s="11" t="str">
        <x:v>PO-10148</x:v>
      </x:c>
      <x:c r="C149" s="11" t="str">
        <x:v>S004</x:v>
      </x:c>
      <x:c r="D149" s="11" t="str">
        <x:v>Proveedor Valle</x:v>
      </x:c>
      <x:c r="E149" s="11" t="str">
        <x:v>2026-08-15</x:v>
      </x:c>
      <x:c r="F149" s="11" t="str">
        <x:v>2026-08-15</x:v>
      </x:c>
      <x:c r="G149" s="11" t="n">
        <x:v>966</x:v>
      </x:c>
      <x:c r="H149" s="11" t="n">
        <x:v>960</x:v>
      </x:c>
      <x:c r="I149" s="16" t="b">
        <x:v>1</x:v>
      </x:c>
      <x:c r="J149" s="11" t="str">
        <x:v>Refacción</x:v>
      </x:c>
      <x:c r="K149" s="11" t="n">
        <x:v>29</x:v>
      </x:c>
    </x:row>
    <x:row r="150">
      <x:c r="A150" s="11" t="n">
        <x:v>149</x:v>
      </x:c>
      <x:c r="B150" s="11" t="str">
        <x:v>PO-10149</x:v>
      </x:c>
      <x:c r="C150" s="11" t="str">
        <x:v>S001</x:v>
      </x:c>
      <x:c r="D150" s="11" t="str">
        <x:v>Proveedor Norte</x:v>
      </x:c>
      <x:c r="E150" s="11" t="str">
        <x:v>2026-08-15</x:v>
      </x:c>
      <x:c r="F150" s="11" t="str">
        <x:v>2026-08-15</x:v>
      </x:c>
      <x:c r="G150" s="11" t="n">
        <x:v>220</x:v>
      </x:c>
      <x:c r="H150" s="11" t="n">
        <x:v>220</x:v>
      </x:c>
      <x:c r="I150" s="16" t="b">
        <x:v>1</x:v>
      </x:c>
      <x:c r="J150" s="11" t="str">
        <x:v>Refacción</x:v>
      </x:c>
      <x:c r="K150" s="11" t="n">
        <x:v>97</x:v>
      </x:c>
    </x:row>
    <x:row r="151">
      <x:c r="A151" s="11" t="n">
        <x:v>150</x:v>
      </x:c>
      <x:c r="B151" s="11" t="str">
        <x:v>PO-10150</x:v>
      </x:c>
      <x:c r="C151" s="11" t="str">
        <x:v>S001</x:v>
      </x:c>
      <x:c r="D151" s="11" t="str">
        <x:v>Proveedor Norte</x:v>
      </x:c>
      <x:c r="E151" s="11" t="str">
        <x:v>2026-08-15</x:v>
      </x:c>
      <x:c r="F151" s="11" t="str">
        <x:v>2026-08-15</x:v>
      </x:c>
      <x:c r="G151" s="11" t="n">
        <x:v>110</x:v>
      </x:c>
      <x:c r="H151" s="11" t="n">
        <x:v>110</x:v>
      </x:c>
      <x:c r="I151" s="16" t="b">
        <x:v>1</x:v>
      </x:c>
      <x:c r="J151" s="11" t="str">
        <x:v>Consumible</x:v>
      </x:c>
      <x:c r="K151" s="11" t="n">
        <x:v>58</x:v>
      </x:c>
    </x:row>
    <x:row r="152">
      <x:c r="A152" s="11" t="n">
        <x:v>151</x:v>
      </x:c>
      <x:c r="B152" s="11" t="str">
        <x:v>PO-10151</x:v>
      </x:c>
      <x:c r="C152" s="11" t="str">
        <x:v>S003</x:v>
      </x:c>
      <x:c r="D152" s="11" t="str">
        <x:v>Proveedor Bajío</x:v>
      </x:c>
      <x:c r="E152" s="11" t="str">
        <x:v>2026-08-17</x:v>
      </x:c>
      <x:c r="F152" s="11" t="str">
        <x:v>2026-08-17</x:v>
      </x:c>
      <x:c r="G152" s="11" t="n">
        <x:v>370</x:v>
      </x:c>
      <x:c r="H152" s="11" t="n">
        <x:v>370</x:v>
      </x:c>
      <x:c r="I152" s="16" t="b">
        <x:v>1</x:v>
      </x:c>
      <x:c r="J152" s="11" t="str">
        <x:v>Refacción</x:v>
      </x:c>
      <x:c r="K152" s="11" t="n">
        <x:v>41</x:v>
      </x:c>
    </x:row>
    <x:row r="153">
      <x:c r="A153" s="11" t="n">
        <x:v>152</x:v>
      </x:c>
      <x:c r="B153" s="11" t="str">
        <x:v>PO-10152</x:v>
      </x:c>
      <x:c r="C153" s="11" t="str">
        <x:v>S004</x:v>
      </x:c>
      <x:c r="D153" s="11" t="str">
        <x:v>Proveedor Valle</x:v>
      </x:c>
      <x:c r="E153" s="11" t="str">
        <x:v>2026-08-17</x:v>
      </x:c>
      <x:c r="F153" s="11" t="str">
        <x:v>2026-08-17</x:v>
      </x:c>
      <x:c r="G153" s="11" t="n">
        <x:v>794</x:v>
      </x:c>
      <x:c r="H153" s="11" t="n">
        <x:v>750</x:v>
      </x:c>
      <x:c r="I153" s="16" t="b">
        <x:v>1</x:v>
      </x:c>
      <x:c r="J153" s="11" t="str">
        <x:v>Empaque</x:v>
      </x:c>
      <x:c r="K153" s="11" t="n">
        <x:v>31</x:v>
      </x:c>
    </x:row>
    <x:row r="154">
      <x:c r="A154" s="11" t="n">
        <x:v>153</x:v>
      </x:c>
      <x:c r="B154" s="11" t="str">
        <x:v>PO-10153</x:v>
      </x:c>
      <x:c r="C154" s="11" t="str">
        <x:v>S003</x:v>
      </x:c>
      <x:c r="D154" s="11" t="str">
        <x:v>Proveedor Bajío</x:v>
      </x:c>
      <x:c r="E154" s="11" t="str">
        <x:v>2026-08-17</x:v>
      </x:c>
      <x:c r="F154" s="11" t="str">
        <x:v>2026-08-17</x:v>
      </x:c>
      <x:c r="G154" s="11" t="n">
        <x:v>1186</x:v>
      </x:c>
      <x:c r="H154" s="11" t="n">
        <x:v>1088</x:v>
      </x:c>
      <x:c r="I154" s="16" t="b">
        <x:v>1</x:v>
      </x:c>
      <x:c r="J154" s="11" t="str">
        <x:v>Empaque</x:v>
      </x:c>
      <x:c r="K154" s="11" t="n">
        <x:v>83</x:v>
      </x:c>
    </x:row>
    <x:row r="155">
      <x:c r="A155" s="11" t="n">
        <x:v>154</x:v>
      </x:c>
      <x:c r="B155" s="11" t="str">
        <x:v>PO-10154</x:v>
      </x:c>
      <x:c r="C155" s="11" t="str">
        <x:v>S003</x:v>
      </x:c>
      <x:c r="D155" s="11" t="str">
        <x:v>Proveedor Bajío</x:v>
      </x:c>
      <x:c r="E155" s="11" t="str">
        <x:v>2026-08-17</x:v>
      </x:c>
      <x:c r="F155" s="11" t="str">
        <x:v>2026-08-20</x:v>
      </x:c>
      <x:c r="G155" s="11" t="n">
        <x:v>838</x:v>
      </x:c>
      <x:c r="H155" s="11" t="n">
        <x:v>820</x:v>
      </x:c>
      <x:c r="I155" s="16" t="b">
        <x:v>0</x:v>
      </x:c>
      <x:c r="J155" s="11" t="str">
        <x:v>Refacción</x:v>
      </x:c>
      <x:c r="K155" s="11" t="n">
        <x:v>98</x:v>
      </x:c>
    </x:row>
    <x:row r="156">
      <x:c r="A156" s="11" t="n">
        <x:v>155</x:v>
      </x:c>
      <x:c r="B156" s="11" t="str">
        <x:v>PO-10155</x:v>
      </x:c>
      <x:c r="C156" s="11" t="str">
        <x:v>S003</x:v>
      </x:c>
      <x:c r="D156" s="11" t="str">
        <x:v>Proveedor Bajío</x:v>
      </x:c>
      <x:c r="E156" s="11" t="str">
        <x:v>2026-08-17</x:v>
      </x:c>
      <x:c r="F156" s="11" t="str">
        <x:v>2026-08-17</x:v>
      </x:c>
      <x:c r="G156" s="11" t="n">
        <x:v>1158</x:v>
      </x:c>
      <x:c r="H156" s="11" t="n">
        <x:v>1055</x:v>
      </x:c>
      <x:c r="I156" s="16" t="b">
        <x:v>1</x:v>
      </x:c>
      <x:c r="J156" s="11" t="str">
        <x:v>Consumible</x:v>
      </x:c>
      <x:c r="K156" s="11" t="n">
        <x:v>117</x:v>
      </x:c>
    </x:row>
    <x:row r="157">
      <x:c r="A157" s="11" t="n">
        <x:v>156</x:v>
      </x:c>
      <x:c r="B157" s="11" t="str">
        <x:v>PO-10156</x:v>
      </x:c>
      <x:c r="C157" s="11" t="str">
        <x:v>S004</x:v>
      </x:c>
      <x:c r="D157" s="11" t="str">
        <x:v>Proveedor Valle</x:v>
      </x:c>
      <x:c r="E157" s="11" t="str">
        <x:v>2026-08-18</x:v>
      </x:c>
      <x:c r="F157" s="11" t="str">
        <x:v>2026-08-18</x:v>
      </x:c>
      <x:c r="G157" s="11" t="n">
        <x:v>208</x:v>
      </x:c>
      <x:c r="H157" s="11" t="n">
        <x:v>208</x:v>
      </x:c>
      <x:c r="I157" s="16" t="b">
        <x:v>1</x:v>
      </x:c>
      <x:c r="J157" s="11" t="str">
        <x:v>Materia prima</x:v>
      </x:c>
      <x:c r="K157" s="11" t="n">
        <x:v>49</x:v>
      </x:c>
    </x:row>
    <x:row r="158">
      <x:c r="A158" s="11" t="n">
        <x:v>157</x:v>
      </x:c>
      <x:c r="B158" s="11" t="str">
        <x:v>PO-10157</x:v>
      </x:c>
      <x:c r="C158" s="11" t="str">
        <x:v>S002</x:v>
      </x:c>
      <x:c r="D158" s="11" t="str">
        <x:v>Proveedor Centro</x:v>
      </x:c>
      <x:c r="E158" s="11" t="str">
        <x:v>2026-08-18</x:v>
      </x:c>
      <x:c r="F158" s="11" t="str">
        <x:v>2026-08-18</x:v>
      </x:c>
      <x:c r="G158" s="11" t="n">
        <x:v>173</x:v>
      </x:c>
      <x:c r="H158" s="11" t="n">
        <x:v>159</x:v>
      </x:c>
      <x:c r="I158" s="16" t="b">
        <x:v>1</x:v>
      </x:c>
      <x:c r="J158" s="11" t="str">
        <x:v>Materia prima</x:v>
      </x:c>
      <x:c r="K158" s="11" t="n">
        <x:v>83</x:v>
      </x:c>
    </x:row>
    <x:row r="159">
      <x:c r="A159" s="11" t="n">
        <x:v>158</x:v>
      </x:c>
      <x:c r="B159" s="11" t="str">
        <x:v>PO-10158</x:v>
      </x:c>
      <x:c r="C159" s="11" t="str">
        <x:v>S001</x:v>
      </x:c>
      <x:c r="D159" s="11" t="str">
        <x:v>Proveedor Norte</x:v>
      </x:c>
      <x:c r="E159" s="11" t="str">
        <x:v>2026-08-18</x:v>
      </x:c>
      <x:c r="F159" s="11" t="str">
        <x:v>2026-08-18</x:v>
      </x:c>
      <x:c r="G159" s="11" t="n">
        <x:v>1004</x:v>
      </x:c>
      <x:c r="H159" s="11" t="n">
        <x:v>970</x:v>
      </x:c>
      <x:c r="I159" s="16" t="b">
        <x:v>1</x:v>
      </x:c>
      <x:c r="J159" s="11" t="str">
        <x:v>Consumible</x:v>
      </x:c>
      <x:c r="K159" s="11" t="n">
        <x:v>78</x:v>
      </x:c>
    </x:row>
    <x:row r="160">
      <x:c r="A160" s="11" t="n">
        <x:v>159</x:v>
      </x:c>
      <x:c r="B160" s="11" t="str">
        <x:v>PO-10159</x:v>
      </x:c>
      <x:c r="C160" s="11" t="str">
        <x:v>S001</x:v>
      </x:c>
      <x:c r="D160" s="11" t="str">
        <x:v>Proveedor Norte</x:v>
      </x:c>
      <x:c r="E160" s="11" t="str">
        <x:v>2026-08-19</x:v>
      </x:c>
      <x:c r="F160" s="11" t="str">
        <x:v>2026-08-19</x:v>
      </x:c>
      <x:c r="G160" s="11" t="n">
        <x:v>403</x:v>
      </x:c>
      <x:c r="H160" s="11" t="n">
        <x:v>394</x:v>
      </x:c>
      <x:c r="I160" s="16" t="b">
        <x:v>1</x:v>
      </x:c>
      <x:c r="J160" s="11" t="str">
        <x:v>Empaque</x:v>
      </x:c>
      <x:c r="K160" s="11" t="n">
        <x:v>41</x:v>
      </x:c>
    </x:row>
    <x:row r="161">
      <x:c r="A161" s="11" t="n">
        <x:v>160</x:v>
      </x:c>
      <x:c r="B161" s="11" t="str">
        <x:v>PO-10160</x:v>
      </x:c>
      <x:c r="C161" s="11" t="str">
        <x:v>S003</x:v>
      </x:c>
      <x:c r="D161" s="11" t="str">
        <x:v>Proveedor Bajío</x:v>
      </x:c>
      <x:c r="E161" s="11" t="str">
        <x:v>2026-08-19</x:v>
      </x:c>
      <x:c r="F161" s="11" t="str">
        <x:v>2026-08-19</x:v>
      </x:c>
      <x:c r="G161" s="11" t="n">
        <x:v>534</x:v>
      </x:c>
      <x:c r="H161" s="11" t="n">
        <x:v>522</x:v>
      </x:c>
      <x:c r="I161" s="16" t="b">
        <x:v>1</x:v>
      </x:c>
      <x:c r="J161" s="11" t="str">
        <x:v>Materia prima</x:v>
      </x:c>
      <x:c r="K161" s="11" t="n">
        <x:v>87</x:v>
      </x:c>
    </x:row>
    <x:row r="162">
      <x:c r="A162" s="11" t="n">
        <x:v>161</x:v>
      </x:c>
      <x:c r="B162" s="11" t="str">
        <x:v>PO-10161</x:v>
      </x:c>
      <x:c r="C162" s="11" t="str">
        <x:v>S002</x:v>
      </x:c>
      <x:c r="D162" s="11" t="str">
        <x:v>Proveedor Centro</x:v>
      </x:c>
      <x:c r="E162" s="11" t="str">
        <x:v>2026-08-19</x:v>
      </x:c>
      <x:c r="F162" s="11" t="str">
        <x:v>2026-08-19</x:v>
      </x:c>
      <x:c r="G162" s="11" t="n">
        <x:v>952</x:v>
      </x:c>
      <x:c r="H162" s="11" t="n">
        <x:v>951</x:v>
      </x:c>
      <x:c r="I162" s="16" t="b">
        <x:v>1</x:v>
      </x:c>
      <x:c r="J162" s="11" t="str">
        <x:v>Materia prima</x:v>
      </x:c>
      <x:c r="K162" s="11" t="n">
        <x:v>62</x:v>
      </x:c>
    </x:row>
    <x:row r="163">
      <x:c r="A163" s="11" t="n">
        <x:v>162</x:v>
      </x:c>
      <x:c r="B163" s="11" t="str">
        <x:v>PO-10162</x:v>
      </x:c>
      <x:c r="C163" s="11" t="str">
        <x:v>S001</x:v>
      </x:c>
      <x:c r="D163" s="11" t="str">
        <x:v>Proveedor Norte</x:v>
      </x:c>
      <x:c r="E163" s="11" t="str">
        <x:v>2026-08-19</x:v>
      </x:c>
      <x:c r="F163" s="11" t="str">
        <x:v>2026-08-19</x:v>
      </x:c>
      <x:c r="G163" s="11" t="n">
        <x:v>682</x:v>
      </x:c>
      <x:c r="H163" s="11" t="n">
        <x:v>639</x:v>
      </x:c>
      <x:c r="I163" s="16" t="b">
        <x:v>1</x:v>
      </x:c>
      <x:c r="J163" s="11" t="str">
        <x:v>Materia prima</x:v>
      </x:c>
      <x:c r="K163" s="11" t="n">
        <x:v>70</x:v>
      </x:c>
    </x:row>
    <x:row r="164">
      <x:c r="A164" s="11" t="n">
        <x:v>163</x:v>
      </x:c>
      <x:c r="B164" s="11" t="str">
        <x:v>PO-10163</x:v>
      </x:c>
      <x:c r="C164" s="11" t="str">
        <x:v>S003</x:v>
      </x:c>
      <x:c r="D164" s="11" t="str">
        <x:v>Proveedor Bajío</x:v>
      </x:c>
      <x:c r="E164" s="11" t="str">
        <x:v>2026-08-19</x:v>
      </x:c>
      <x:c r="F164" s="11" t="str">
        <x:v>2026-08-19</x:v>
      </x:c>
      <x:c r="G164" s="11" t="n">
        <x:v>317</x:v>
      </x:c>
      <x:c r="H164" s="11" t="n">
        <x:v>310</x:v>
      </x:c>
      <x:c r="I164" s="16" t="b">
        <x:v>1</x:v>
      </x:c>
      <x:c r="J164" s="11" t="str">
        <x:v>Consumible</x:v>
      </x:c>
      <x:c r="K164" s="11" t="n">
        <x:v>78</x:v>
      </x:c>
    </x:row>
    <x:row r="165">
      <x:c r="A165" s="11" t="n">
        <x:v>164</x:v>
      </x:c>
      <x:c r="B165" s="11" t="str">
        <x:v>PO-10164</x:v>
      </x:c>
      <x:c r="C165" s="11" t="str">
        <x:v>S001</x:v>
      </x:c>
      <x:c r="D165" s="11" t="str">
        <x:v>Proveedor Norte</x:v>
      </x:c>
      <x:c r="E165" s="11" t="str">
        <x:v>2026-08-20</x:v>
      </x:c>
      <x:c r="F165" s="11" t="str">
        <x:v>2026-08-25</x:v>
      </x:c>
      <x:c r="G165" s="11" t="n">
        <x:v>774</x:v>
      </x:c>
      <x:c r="H165" s="11" t="n">
        <x:v>720</x:v>
      </x:c>
      <x:c r="I165" s="16" t="b">
        <x:v>0</x:v>
      </x:c>
      <x:c r="J165" s="11" t="str">
        <x:v>Consumible</x:v>
      </x:c>
      <x:c r="K165" s="11" t="n">
        <x:v>61</x:v>
      </x:c>
    </x:row>
    <x:row r="166">
      <x:c r="A166" s="11" t="n">
        <x:v>165</x:v>
      </x:c>
      <x:c r="B166" s="11" t="str">
        <x:v>PO-10165</x:v>
      </x:c>
      <x:c r="C166" s="11" t="str">
        <x:v>S002</x:v>
      </x:c>
      <x:c r="D166" s="11" t="str">
        <x:v>Proveedor Centro</x:v>
      </x:c>
      <x:c r="E166" s="11" t="str">
        <x:v>2026-08-20</x:v>
      </x:c>
      <x:c r="F166" s="11" t="str">
        <x:v>2026-08-20</x:v>
      </x:c>
      <x:c r="G166" s="11" t="n">
        <x:v>532</x:v>
      </x:c>
      <x:c r="H166" s="11" t="n">
        <x:v>532</x:v>
      </x:c>
      <x:c r="I166" s="16" t="b">
        <x:v>1</x:v>
      </x:c>
      <x:c r="J166" s="11" t="str">
        <x:v>Materia prima</x:v>
      </x:c>
      <x:c r="K166" s="11" t="n">
        <x:v>115</x:v>
      </x:c>
    </x:row>
    <x:row r="167">
      <x:c r="A167" s="11" t="n">
        <x:v>166</x:v>
      </x:c>
      <x:c r="B167" s="11" t="str">
        <x:v>PO-10166</x:v>
      </x:c>
      <x:c r="C167" s="11" t="str">
        <x:v>S001</x:v>
      </x:c>
      <x:c r="D167" s="11" t="str">
        <x:v>Proveedor Norte</x:v>
      </x:c>
      <x:c r="E167" s="11" t="str">
        <x:v>2026-08-20</x:v>
      </x:c>
      <x:c r="F167" s="11" t="str">
        <x:v>2026-08-20</x:v>
      </x:c>
      <x:c r="G167" s="11" t="n">
        <x:v>881</x:v>
      </x:c>
      <x:c r="H167" s="11" t="n">
        <x:v>773</x:v>
      </x:c>
      <x:c r="I167" s="16" t="b">
        <x:v>1</x:v>
      </x:c>
      <x:c r="J167" s="11" t="str">
        <x:v>Refacción</x:v>
      </x:c>
      <x:c r="K167" s="11" t="n">
        <x:v>42</x:v>
      </x:c>
    </x:row>
    <x:row r="168">
      <x:c r="A168" s="11" t="n">
        <x:v>167</x:v>
      </x:c>
      <x:c r="B168" s="11" t="str">
        <x:v>PO-10167</x:v>
      </x:c>
      <x:c r="C168" s="11" t="str">
        <x:v>S002</x:v>
      </x:c>
      <x:c r="D168" s="11" t="str">
        <x:v>Proveedor Centro</x:v>
      </x:c>
      <x:c r="E168" s="11" t="str">
        <x:v>2026-08-20</x:v>
      </x:c>
      <x:c r="F168" s="11" t="str">
        <x:v>2026-08-20</x:v>
      </x:c>
      <x:c r="G168" s="11" t="n">
        <x:v>916</x:v>
      </x:c>
      <x:c r="H168" s="11" t="n">
        <x:v>916</x:v>
      </x:c>
      <x:c r="I168" s="16" t="b">
        <x:v>1</x:v>
      </x:c>
      <x:c r="J168" s="11" t="str">
        <x:v>Consumible</x:v>
      </x:c>
      <x:c r="K168" s="11" t="n">
        <x:v>56</x:v>
      </x:c>
    </x:row>
    <x:row r="169">
      <x:c r="A169" s="11" t="n">
        <x:v>168</x:v>
      </x:c>
      <x:c r="B169" s="11" t="str">
        <x:v>PO-10168</x:v>
      </x:c>
      <x:c r="C169" s="11" t="str">
        <x:v>S001</x:v>
      </x:c>
      <x:c r="D169" s="11" t="str">
        <x:v>Proveedor Norte</x:v>
      </x:c>
      <x:c r="E169" s="11" t="str">
        <x:v>2026-08-21</x:v>
      </x:c>
      <x:c r="F169" s="11" t="str">
        <x:v>2026-08-21</x:v>
      </x:c>
      <x:c r="G169" s="11" t="n">
        <x:v>711</x:v>
      </x:c>
      <x:c r="H169" s="11" t="n">
        <x:v>711</x:v>
      </x:c>
      <x:c r="I169" s="16" t="b">
        <x:v>1</x:v>
      </x:c>
      <x:c r="J169" s="11" t="str">
        <x:v>Consumible</x:v>
      </x:c>
      <x:c r="K169" s="11" t="n">
        <x:v>114</x:v>
      </x:c>
    </x:row>
    <x:row r="170">
      <x:c r="A170" s="11" t="n">
        <x:v>169</x:v>
      </x:c>
      <x:c r="B170" s="11" t="str">
        <x:v>PO-10169</x:v>
      </x:c>
      <x:c r="C170" s="11" t="str">
        <x:v>S003</x:v>
      </x:c>
      <x:c r="D170" s="11" t="str">
        <x:v>Proveedor Bajío</x:v>
      </x:c>
      <x:c r="E170" s="11" t="str">
        <x:v>2026-08-21</x:v>
      </x:c>
      <x:c r="F170" s="11" t="str">
        <x:v>2026-08-21</x:v>
      </x:c>
      <x:c r="G170" s="11" t="n">
        <x:v>368</x:v>
      </x:c>
      <x:c r="H170" s="11" t="n">
        <x:v>346</x:v>
      </x:c>
      <x:c r="I170" s="16" t="b">
        <x:v>1</x:v>
      </x:c>
      <x:c r="J170" s="11" t="str">
        <x:v>Empaque</x:v>
      </x:c>
      <x:c r="K170" s="11" t="n">
        <x:v>82</x:v>
      </x:c>
    </x:row>
    <x:row r="171">
      <x:c r="A171" s="11" t="n">
        <x:v>170</x:v>
      </x:c>
      <x:c r="B171" s="11" t="str">
        <x:v>PO-10170</x:v>
      </x:c>
      <x:c r="C171" s="11" t="str">
        <x:v>S004</x:v>
      </x:c>
      <x:c r="D171" s="11" t="str">
        <x:v>Proveedor Valle</x:v>
      </x:c>
      <x:c r="E171" s="11" t="str">
        <x:v>2026-08-21</x:v>
      </x:c>
      <x:c r="F171" s="11" t="str">
        <x:v>2026-08-21</x:v>
      </x:c>
      <x:c r="G171" s="11" t="n">
        <x:v>894</x:v>
      </x:c>
      <x:c r="H171" s="11" t="n">
        <x:v>876</x:v>
      </x:c>
      <x:c r="I171" s="16" t="b">
        <x:v>1</x:v>
      </x:c>
      <x:c r="J171" s="11" t="str">
        <x:v>Consumible</x:v>
      </x:c>
      <x:c r="K171" s="11" t="n">
        <x:v>31</x:v>
      </x:c>
    </x:row>
    <x:row r="172">
      <x:c r="A172" s="11" t="n">
        <x:v>171</x:v>
      </x:c>
      <x:c r="B172" s="11" t="str">
        <x:v>PO-10171</x:v>
      </x:c>
      <x:c r="C172" s="11" t="str">
        <x:v>S003</x:v>
      </x:c>
      <x:c r="D172" s="11" t="str">
        <x:v>Proveedor Bajío</x:v>
      </x:c>
      <x:c r="E172" s="11" t="str">
        <x:v>2026-08-22</x:v>
      </x:c>
      <x:c r="F172" s="11" t="str">
        <x:v>2026-08-22</x:v>
      </x:c>
      <x:c r="G172" s="11" t="n">
        <x:v>481</x:v>
      </x:c>
      <x:c r="H172" s="11" t="n">
        <x:v>433</x:v>
      </x:c>
      <x:c r="I172" s="16" t="b">
        <x:v>1</x:v>
      </x:c>
      <x:c r="J172" s="11" t="str">
        <x:v>Refacción</x:v>
      </x:c>
      <x:c r="K172" s="11" t="n">
        <x:v>79</x:v>
      </x:c>
    </x:row>
    <x:row r="173">
      <x:c r="A173" s="11" t="n">
        <x:v>172</x:v>
      </x:c>
      <x:c r="B173" s="11" t="str">
        <x:v>PO-10172</x:v>
      </x:c>
      <x:c r="C173" s="11" t="str">
        <x:v>S002</x:v>
      </x:c>
      <x:c r="D173" s="11" t="str">
        <x:v>Proveedor Centro</x:v>
      </x:c>
      <x:c r="E173" s="11" t="str">
        <x:v>2026-08-22</x:v>
      </x:c>
      <x:c r="F173" s="11" t="str">
        <x:v>2026-08-27</x:v>
      </x:c>
      <x:c r="G173" s="11" t="n">
        <x:v>417</x:v>
      </x:c>
      <x:c r="H173" s="11" t="n">
        <x:v>410</x:v>
      </x:c>
      <x:c r="I173" s="16" t="b">
        <x:v>0</x:v>
      </x:c>
      <x:c r="J173" s="11" t="str">
        <x:v>Materia prima</x:v>
      </x:c>
      <x:c r="K173" s="11" t="n">
        <x:v>57</x:v>
      </x:c>
    </x:row>
    <x:row r="174">
      <x:c r="A174" s="11" t="n">
        <x:v>173</x:v>
      </x:c>
      <x:c r="B174" s="11" t="str">
        <x:v>PO-10173</x:v>
      </x:c>
      <x:c r="C174" s="11" t="str">
        <x:v>S004</x:v>
      </x:c>
      <x:c r="D174" s="11" t="str">
        <x:v>Proveedor Valle</x:v>
      </x:c>
      <x:c r="E174" s="11" t="str">
        <x:v>2026-08-22</x:v>
      </x:c>
      <x:c r="F174" s="11" t="str">
        <x:v>2026-08-22</x:v>
      </x:c>
      <x:c r="G174" s="11" t="n">
        <x:v>995</x:v>
      </x:c>
      <x:c r="H174" s="11" t="n">
        <x:v>995</x:v>
      </x:c>
      <x:c r="I174" s="16" t="b">
        <x:v>1</x:v>
      </x:c>
      <x:c r="J174" s="11" t="str">
        <x:v>Empaque</x:v>
      </x:c>
      <x:c r="K174" s="11" t="n">
        <x:v>107</x:v>
      </x:c>
    </x:row>
    <x:row r="175">
      <x:c r="A175" s="11" t="n">
        <x:v>174</x:v>
      </x:c>
      <x:c r="B175" s="11" t="str">
        <x:v>PO-10174</x:v>
      </x:c>
      <x:c r="C175" s="11" t="str">
        <x:v>S003</x:v>
      </x:c>
      <x:c r="D175" s="11" t="str">
        <x:v>Proveedor Bajío</x:v>
      </x:c>
      <x:c r="E175" s="11" t="str">
        <x:v>2026-08-22</x:v>
      </x:c>
      <x:c r="F175" s="11" t="str">
        <x:v>2026-08-22</x:v>
      </x:c>
      <x:c r="G175" s="11" t="n">
        <x:v>609</x:v>
      </x:c>
      <x:c r="H175" s="11" t="n">
        <x:v>609</x:v>
      </x:c>
      <x:c r="I175" s="16" t="b">
        <x:v>1</x:v>
      </x:c>
      <x:c r="J175" s="11" t="str">
        <x:v>Refacción</x:v>
      </x:c>
      <x:c r="K175" s="11" t="n">
        <x:v>92</x:v>
      </x:c>
    </x:row>
    <x:row r="176">
      <x:c r="A176" s="11" t="n">
        <x:v>175</x:v>
      </x:c>
      <x:c r="B176" s="11" t="str">
        <x:v>PO-10175</x:v>
      </x:c>
      <x:c r="C176" s="11" t="str">
        <x:v>S001</x:v>
      </x:c>
      <x:c r="D176" s="11" t="str">
        <x:v>Proveedor Norte</x:v>
      </x:c>
      <x:c r="E176" s="11" t="str">
        <x:v>2026-08-22</x:v>
      </x:c>
      <x:c r="F176" s="11" t="str">
        <x:v>2026-08-22</x:v>
      </x:c>
      <x:c r="G176" s="11" t="n">
        <x:v>256</x:v>
      </x:c>
      <x:c r="H176" s="11" t="n">
        <x:v>256</x:v>
      </x:c>
      <x:c r="I176" s="16" t="b">
        <x:v>1</x:v>
      </x:c>
      <x:c r="J176" s="11" t="str">
        <x:v>Consumible</x:v>
      </x:c>
      <x:c r="K176" s="11" t="n">
        <x:v>32</x:v>
      </x:c>
    </x:row>
    <x:row r="177">
      <x:c r="A177" s="11" t="n">
        <x:v>176</x:v>
      </x:c>
      <x:c r="B177" s="11" t="str">
        <x:v>PO-10176</x:v>
      </x:c>
      <x:c r="C177" s="11" t="str">
        <x:v>S003</x:v>
      </x:c>
      <x:c r="D177" s="11" t="str">
        <x:v>Proveedor Bajío</x:v>
      </x:c>
      <x:c r="E177" s="11" t="str">
        <x:v>2026-08-24</x:v>
      </x:c>
      <x:c r="F177" s="11" t="str">
        <x:v>2026-08-24</x:v>
      </x:c>
      <x:c r="G177" s="11" t="n">
        <x:v>827</x:v>
      </x:c>
      <x:c r="H177" s="11" t="n">
        <x:v>764</x:v>
      </x:c>
      <x:c r="I177" s="16" t="b">
        <x:v>1</x:v>
      </x:c>
      <x:c r="J177" s="11" t="str">
        <x:v>Materia prima</x:v>
      </x:c>
      <x:c r="K177" s="11" t="n">
        <x:v>118</x:v>
      </x:c>
    </x:row>
    <x:row r="178">
      <x:c r="A178" s="11" t="n">
        <x:v>177</x:v>
      </x:c>
      <x:c r="B178" s="11" t="str">
        <x:v>PO-10177</x:v>
      </x:c>
      <x:c r="C178" s="11" t="str">
        <x:v>S001</x:v>
      </x:c>
      <x:c r="D178" s="11" t="str">
        <x:v>Proveedor Norte</x:v>
      </x:c>
      <x:c r="E178" s="11" t="str">
        <x:v>2026-08-24</x:v>
      </x:c>
      <x:c r="F178" s="11" t="str">
        <x:v>2026-08-24</x:v>
      </x:c>
      <x:c r="G178" s="11" t="n">
        <x:v>333</x:v>
      </x:c>
      <x:c r="H178" s="11" t="n">
        <x:v>318</x:v>
      </x:c>
      <x:c r="I178" s="16" t="b">
        <x:v>1</x:v>
      </x:c>
      <x:c r="J178" s="11" t="str">
        <x:v>Consumible</x:v>
      </x:c>
      <x:c r="K178" s="11" t="n">
        <x:v>25</x:v>
      </x:c>
    </x:row>
    <x:row r="179">
      <x:c r="A179" s="11" t="n">
        <x:v>178</x:v>
      </x:c>
      <x:c r="B179" s="11" t="str">
        <x:v>PO-10178</x:v>
      </x:c>
      <x:c r="C179" s="11" t="str">
        <x:v>S001</x:v>
      </x:c>
      <x:c r="D179" s="11" t="str">
        <x:v>Proveedor Norte</x:v>
      </x:c>
      <x:c r="E179" s="11" t="str">
        <x:v>2026-08-24</x:v>
      </x:c>
      <x:c r="F179" s="11" t="str">
        <x:v>2026-08-24</x:v>
      </x:c>
      <x:c r="G179" s="11" t="n">
        <x:v>952</x:v>
      </x:c>
      <x:c r="H179" s="11" t="n">
        <x:v>850</x:v>
      </x:c>
      <x:c r="I179" s="16" t="b">
        <x:v>1</x:v>
      </x:c>
      <x:c r="J179" s="11" t="str">
        <x:v>Refacción</x:v>
      </x:c>
      <x:c r="K179" s="11" t="n">
        <x:v>60</x:v>
      </x:c>
    </x:row>
    <x:row r="180">
      <x:c r="A180" s="11" t="n">
        <x:v>179</x:v>
      </x:c>
      <x:c r="B180" s="11" t="str">
        <x:v>PO-10179</x:v>
      </x:c>
      <x:c r="C180" s="11" t="str">
        <x:v>S004</x:v>
      </x:c>
      <x:c r="D180" s="11" t="str">
        <x:v>Proveedor Valle</x:v>
      </x:c>
      <x:c r="E180" s="11" t="str">
        <x:v>2026-08-24</x:v>
      </x:c>
      <x:c r="F180" s="11" t="str">
        <x:v>2026-08-26</x:v>
      </x:c>
      <x:c r="G180" s="11" t="n">
        <x:v>1021</x:v>
      </x:c>
      <x:c r="H180" s="11" t="n">
        <x:v>945</x:v>
      </x:c>
      <x:c r="I180" s="16" t="b">
        <x:v>0</x:v>
      </x:c>
      <x:c r="J180" s="11" t="str">
        <x:v>Empaque</x:v>
      </x:c>
      <x:c r="K180" s="11" t="n">
        <x:v>43</x:v>
      </x:c>
    </x:row>
    <x:row r="181">
      <x:c r="A181" s="11" t="n">
        <x:v>180</x:v>
      </x:c>
      <x:c r="B181" s="11" t="str">
        <x:v>PO-10180</x:v>
      </x:c>
      <x:c r="C181" s="11" t="str">
        <x:v>S001</x:v>
      </x:c>
      <x:c r="D181" s="11" t="str">
        <x:v>Proveedor Norte</x:v>
      </x:c>
      <x:c r="E181" s="11" t="str">
        <x:v>2026-08-24</x:v>
      </x:c>
      <x:c r="F181" s="11" t="str">
        <x:v>2026-08-24</x:v>
      </x:c>
      <x:c r="G181" s="11" t="n">
        <x:v>631</x:v>
      </x:c>
      <x:c r="H181" s="11" t="n">
        <x:v>584</x:v>
      </x:c>
      <x:c r="I181" s="16" t="b">
        <x:v>1</x:v>
      </x:c>
      <x:c r="J181" s="11" t="str">
        <x:v>Materia prima</x:v>
      </x:c>
      <x:c r="K181" s="11" t="n">
        <x:v>75</x:v>
      </x:c>
    </x:row>
    <x:row r="182">
      <x:c r="A182" s="11" t="n">
        <x:v>181</x:v>
      </x:c>
      <x:c r="B182" s="11" t="str">
        <x:v>PO-10181</x:v>
      </x:c>
      <x:c r="C182" s="11" t="str">
        <x:v>S001</x:v>
      </x:c>
      <x:c r="D182" s="11" t="str">
        <x:v>Proveedor Norte</x:v>
      </x:c>
      <x:c r="E182" s="11" t="str">
        <x:v>2026-08-25</x:v>
      </x:c>
      <x:c r="F182" s="11" t="str">
        <x:v>2026-08-25</x:v>
      </x:c>
      <x:c r="G182" s="11" t="n">
        <x:v>908</x:v>
      </x:c>
      <x:c r="H182" s="11" t="n">
        <x:v>896</x:v>
      </x:c>
      <x:c r="I182" s="16" t="b">
        <x:v>1</x:v>
      </x:c>
      <x:c r="J182" s="11" t="str">
        <x:v>Consumible</x:v>
      </x:c>
      <x:c r="K182" s="11" t="n">
        <x:v>104</x:v>
      </x:c>
    </x:row>
    <x:row r="183">
      <x:c r="A183" s="11" t="n">
        <x:v>182</x:v>
      </x:c>
      <x:c r="B183" s="11" t="str">
        <x:v>PO-10182</x:v>
      </x:c>
      <x:c r="C183" s="11" t="str">
        <x:v>S004</x:v>
      </x:c>
      <x:c r="D183" s="11" t="str">
        <x:v>Proveedor Valle</x:v>
      </x:c>
      <x:c r="E183" s="11" t="str">
        <x:v>2026-08-25</x:v>
      </x:c>
      <x:c r="F183" s="11" t="str">
        <x:v>2026-08-25</x:v>
      </x:c>
      <x:c r="G183" s="11" t="n">
        <x:v>720</x:v>
      </x:c>
      <x:c r="H183" s="11" t="n">
        <x:v>708</x:v>
      </x:c>
      <x:c r="I183" s="16" t="b">
        <x:v>1</x:v>
      </x:c>
      <x:c r="J183" s="11" t="str">
        <x:v>Refacción</x:v>
      </x:c>
      <x:c r="K183" s="11" t="n">
        <x:v>108</x:v>
      </x:c>
    </x:row>
    <x:row r="184">
      <x:c r="A184" s="11" t="n">
        <x:v>183</x:v>
      </x:c>
      <x:c r="B184" s="11" t="str">
        <x:v>PO-10183</x:v>
      </x:c>
      <x:c r="C184" s="11" t="str">
        <x:v>S003</x:v>
      </x:c>
      <x:c r="D184" s="11" t="str">
        <x:v>Proveedor Bajío</x:v>
      </x:c>
      <x:c r="E184" s="11" t="str">
        <x:v>2026-08-26</x:v>
      </x:c>
      <x:c r="F184" s="11" t="str">
        <x:v>2026-08-26</x:v>
      </x:c>
      <x:c r="G184" s="11" t="n">
        <x:v>279</x:v>
      </x:c>
      <x:c r="H184" s="11" t="n">
        <x:v>269</x:v>
      </x:c>
      <x:c r="I184" s="16" t="b">
        <x:v>1</x:v>
      </x:c>
      <x:c r="J184" s="11" t="str">
        <x:v>Materia prima</x:v>
      </x:c>
      <x:c r="K184" s="11" t="n">
        <x:v>109</x:v>
      </x:c>
    </x:row>
    <x:row r="185">
      <x:c r="A185" s="11" t="n">
        <x:v>184</x:v>
      </x:c>
      <x:c r="B185" s="11" t="str">
        <x:v>PO-10184</x:v>
      </x:c>
      <x:c r="C185" s="11" t="str">
        <x:v>S002</x:v>
      </x:c>
      <x:c r="D185" s="11" t="str">
        <x:v>Proveedor Centro</x:v>
      </x:c>
      <x:c r="E185" s="11" t="str">
        <x:v>2026-08-26</x:v>
      </x:c>
      <x:c r="F185" s="11" t="str">
        <x:v>2026-08-26</x:v>
      </x:c>
      <x:c r="G185" s="11" t="n">
        <x:v>154</x:v>
      </x:c>
      <x:c r="H185" s="11" t="n">
        <x:v>148</x:v>
      </x:c>
      <x:c r="I185" s="16" t="b">
        <x:v>1</x:v>
      </x:c>
      <x:c r="J185" s="11" t="str">
        <x:v>Empaque</x:v>
      </x:c>
      <x:c r="K185" s="11" t="n">
        <x:v>103</x:v>
      </x:c>
    </x:row>
    <x:row r="186">
      <x:c r="A186" s="11" t="n">
        <x:v>185</x:v>
      </x:c>
      <x:c r="B186" s="11" t="str">
        <x:v>PO-10185</x:v>
      </x:c>
      <x:c r="C186" s="11" t="str">
        <x:v>S002</x:v>
      </x:c>
      <x:c r="D186" s="11" t="str">
        <x:v>Proveedor Centro</x:v>
      </x:c>
      <x:c r="E186" s="11" t="str">
        <x:v>2026-08-26</x:v>
      </x:c>
      <x:c r="F186" s="11" t="str">
        <x:v>2026-08-26</x:v>
      </x:c>
      <x:c r="G186" s="11" t="n">
        <x:v>992</x:v>
      </x:c>
      <x:c r="H186" s="11" t="n">
        <x:v>992</x:v>
      </x:c>
      <x:c r="I186" s="16" t="b">
        <x:v>1</x:v>
      </x:c>
      <x:c r="J186" s="11" t="str">
        <x:v>Materia prima</x:v>
      </x:c>
      <x:c r="K186" s="11" t="n">
        <x:v>58</x:v>
      </x:c>
    </x:row>
    <x:row r="187">
      <x:c r="A187" s="11" t="n">
        <x:v>186</x:v>
      </x:c>
      <x:c r="B187" s="11" t="str">
        <x:v>PO-10186</x:v>
      </x:c>
      <x:c r="C187" s="11" t="str">
        <x:v>S004</x:v>
      </x:c>
      <x:c r="D187" s="11" t="str">
        <x:v>Proveedor Valle</x:v>
      </x:c>
      <x:c r="E187" s="11" t="str">
        <x:v>2026-08-26</x:v>
      </x:c>
      <x:c r="F187" s="11" t="str">
        <x:v>2026-08-26</x:v>
      </x:c>
      <x:c r="G187" s="11" t="n">
        <x:v>403</x:v>
      </x:c>
      <x:c r="H187" s="11" t="n">
        <x:v>346</x:v>
      </x:c>
      <x:c r="I187" s="16" t="b">
        <x:v>1</x:v>
      </x:c>
      <x:c r="J187" s="11" t="str">
        <x:v>Materia prima</x:v>
      </x:c>
      <x:c r="K187" s="11" t="n">
        <x:v>34</x:v>
      </x:c>
    </x:row>
    <x:row r="188">
      <x:c r="A188" s="11" t="n">
        <x:v>187</x:v>
      </x:c>
      <x:c r="B188" s="11" t="str">
        <x:v>PO-10187</x:v>
      </x:c>
      <x:c r="C188" s="11" t="str">
        <x:v>S002</x:v>
      </x:c>
      <x:c r="D188" s="11" t="str">
        <x:v>Proveedor Centro</x:v>
      </x:c>
      <x:c r="E188" s="11" t="str">
        <x:v>2026-08-26</x:v>
      </x:c>
      <x:c r="F188" s="11" t="str">
        <x:v>2026-08-26</x:v>
      </x:c>
      <x:c r="G188" s="11" t="n">
        <x:v>412</x:v>
      </x:c>
      <x:c r="H188" s="11" t="n">
        <x:v>393</x:v>
      </x:c>
      <x:c r="I188" s="16" t="b">
        <x:v>1</x:v>
      </x:c>
      <x:c r="J188" s="11" t="str">
        <x:v>Materia prima</x:v>
      </x:c>
      <x:c r="K188" s="11" t="n">
        <x:v>77</x:v>
      </x:c>
    </x:row>
    <x:row r="189">
      <x:c r="A189" s="11" t="n">
        <x:v>188</x:v>
      </x:c>
      <x:c r="B189" s="11" t="str">
        <x:v>PO-10188</x:v>
      </x:c>
      <x:c r="C189" s="11" t="str">
        <x:v>S002</x:v>
      </x:c>
      <x:c r="D189" s="11" t="str">
        <x:v>Proveedor Centro</x:v>
      </x:c>
      <x:c r="E189" s="11" t="str">
        <x:v>2026-08-27</x:v>
      </x:c>
      <x:c r="F189" s="11" t="str">
        <x:v>2026-08-27</x:v>
      </x:c>
      <x:c r="G189" s="11" t="n">
        <x:v>703</x:v>
      </x:c>
      <x:c r="H189" s="11" t="n">
        <x:v>629</x:v>
      </x:c>
      <x:c r="I189" s="16" t="b">
        <x:v>1</x:v>
      </x:c>
      <x:c r="J189" s="11" t="str">
        <x:v>Consumible</x:v>
      </x:c>
      <x:c r="K189" s="11" t="n">
        <x:v>26</x:v>
      </x:c>
    </x:row>
    <x:row r="190">
      <x:c r="A190" s="11" t="n">
        <x:v>189</x:v>
      </x:c>
      <x:c r="B190" s="11" t="str">
        <x:v>PO-10189</x:v>
      </x:c>
      <x:c r="C190" s="11" t="str">
        <x:v>S003</x:v>
      </x:c>
      <x:c r="D190" s="11" t="str">
        <x:v>Proveedor Bajío</x:v>
      </x:c>
      <x:c r="E190" s="11" t="str">
        <x:v>2026-08-27</x:v>
      </x:c>
      <x:c r="F190" s="11" t="str">
        <x:v>2026-08-27</x:v>
      </x:c>
      <x:c r="G190" s="11" t="n">
        <x:v>116</x:v>
      </x:c>
      <x:c r="H190" s="11" t="n">
        <x:v>116</x:v>
      </x:c>
      <x:c r="I190" s="16" t="b">
        <x:v>1</x:v>
      </x:c>
      <x:c r="J190" s="11" t="str">
        <x:v>Consumible</x:v>
      </x:c>
      <x:c r="K190" s="11" t="n">
        <x:v>83</x:v>
      </x:c>
    </x:row>
    <x:row r="191">
      <x:c r="A191" s="11" t="n">
        <x:v>190</x:v>
      </x:c>
      <x:c r="B191" s="11" t="str">
        <x:v>PO-10190</x:v>
      </x:c>
      <x:c r="C191" s="11" t="str">
        <x:v>S003</x:v>
      </x:c>
      <x:c r="D191" s="11" t="str">
        <x:v>Proveedor Bajío</x:v>
      </x:c>
      <x:c r="E191" s="11" t="str">
        <x:v>2026-08-27</x:v>
      </x:c>
      <x:c r="F191" s="11" t="str">
        <x:v>2026-08-27</x:v>
      </x:c>
      <x:c r="G191" s="11" t="n">
        <x:v>175</x:v>
      </x:c>
      <x:c r="H191" s="11" t="n">
        <x:v>175</x:v>
      </x:c>
      <x:c r="I191" s="16" t="b">
        <x:v>1</x:v>
      </x:c>
      <x:c r="J191" s="11" t="str">
        <x:v>Consumible</x:v>
      </x:c>
      <x:c r="K191" s="11" t="n">
        <x:v>85</x:v>
      </x:c>
    </x:row>
    <x:row r="192">
      <x:c r="A192" s="11" t="n">
        <x:v>191</x:v>
      </x:c>
      <x:c r="B192" s="11" t="str">
        <x:v>PO-10191</x:v>
      </x:c>
      <x:c r="C192" s="11" t="str">
        <x:v>S002</x:v>
      </x:c>
      <x:c r="D192" s="11" t="str">
        <x:v>Proveedor Centro</x:v>
      </x:c>
      <x:c r="E192" s="11" t="str">
        <x:v>2026-08-28</x:v>
      </x:c>
      <x:c r="F192" s="11" t="str">
        <x:v>2026-08-28</x:v>
      </x:c>
      <x:c r="G192" s="11" t="n">
        <x:v>224</x:v>
      </x:c>
      <x:c r="H192" s="11" t="n">
        <x:v>201</x:v>
      </x:c>
      <x:c r="I192" s="16" t="b">
        <x:v>1</x:v>
      </x:c>
      <x:c r="J192" s="11" t="str">
        <x:v>Materia prima</x:v>
      </x:c>
      <x:c r="K192" s="11" t="n">
        <x:v>54</x:v>
      </x:c>
    </x:row>
    <x:row r="193">
      <x:c r="A193" s="11" t="n">
        <x:v>192</x:v>
      </x:c>
      <x:c r="B193" s="11" t="str">
        <x:v>PO-10192</x:v>
      </x:c>
      <x:c r="C193" s="11" t="str">
        <x:v>S004</x:v>
      </x:c>
      <x:c r="D193" s="11" t="str">
        <x:v>Proveedor Valle</x:v>
      </x:c>
      <x:c r="E193" s="11" t="str">
        <x:v>2026-08-28</x:v>
      </x:c>
      <x:c r="F193" s="11" t="str">
        <x:v>2026-08-28</x:v>
      </x:c>
      <x:c r="G193" s="11" t="n">
        <x:v>1069</x:v>
      </x:c>
      <x:c r="H193" s="11" t="n">
        <x:v>1014</x:v>
      </x:c>
      <x:c r="I193" s="16" t="b">
        <x:v>1</x:v>
      </x:c>
      <x:c r="J193" s="11" t="str">
        <x:v>Refacción</x:v>
      </x:c>
      <x:c r="K193" s="11" t="n">
        <x:v>77</x:v>
      </x:c>
    </x:row>
    <x:row r="194">
      <x:c r="A194" s="11" t="n">
        <x:v>193</x:v>
      </x:c>
      <x:c r="B194" s="11" t="str">
        <x:v>PO-10193</x:v>
      </x:c>
      <x:c r="C194" s="11" t="str">
        <x:v>S004</x:v>
      </x:c>
      <x:c r="D194" s="11" t="str">
        <x:v>Proveedor Valle</x:v>
      </x:c>
      <x:c r="E194" s="11" t="str">
        <x:v>2026-08-28</x:v>
      </x:c>
      <x:c r="F194" s="11" t="str">
        <x:v>2026-08-28</x:v>
      </x:c>
      <x:c r="G194" s="11" t="n">
        <x:v>142</x:v>
      </x:c>
      <x:c r="H194" s="11" t="n">
        <x:v>142</x:v>
      </x:c>
      <x:c r="I194" s="16" t="b">
        <x:v>1</x:v>
      </x:c>
      <x:c r="J194" s="11" t="str">
        <x:v>Consumible</x:v>
      </x:c>
      <x:c r="K194" s="11" t="n">
        <x:v>49</x:v>
      </x:c>
    </x:row>
    <x:row r="195">
      <x:c r="A195" s="11" t="n">
        <x:v>194</x:v>
      </x:c>
      <x:c r="B195" s="11" t="str">
        <x:v>PO-10194</x:v>
      </x:c>
      <x:c r="C195" s="11" t="str">
        <x:v>S002</x:v>
      </x:c>
      <x:c r="D195" s="11" t="str">
        <x:v>Proveedor Centro</x:v>
      </x:c>
      <x:c r="E195" s="11" t="str">
        <x:v>2026-08-28</x:v>
      </x:c>
      <x:c r="F195" s="11" t="str">
        <x:v>2026-09-01</x:v>
      </x:c>
      <x:c r="G195" s="11" t="n">
        <x:v>794</x:v>
      </x:c>
      <x:c r="H195" s="11" t="n">
        <x:v>794</x:v>
      </x:c>
      <x:c r="I195" s="16" t="b">
        <x:v>0</x:v>
      </x:c>
      <x:c r="J195" s="11" t="str">
        <x:v>Empaque</x:v>
      </x:c>
      <x:c r="K195" s="11" t="n">
        <x:v>57</x:v>
      </x:c>
    </x:row>
    <x:row r="196">
      <x:c r="A196" s="11" t="n">
        <x:v>195</x:v>
      </x:c>
      <x:c r="B196" s="11" t="str">
        <x:v>PO-10195</x:v>
      </x:c>
      <x:c r="C196" s="11" t="str">
        <x:v>S004</x:v>
      </x:c>
      <x:c r="D196" s="11" t="str">
        <x:v>Proveedor Valle</x:v>
      </x:c>
      <x:c r="E196" s="11" t="str">
        <x:v>2026-08-28</x:v>
      </x:c>
      <x:c r="F196" s="11" t="str">
        <x:v>2026-08-28</x:v>
      </x:c>
      <x:c r="G196" s="11" t="n">
        <x:v>953</x:v>
      </x:c>
      <x:c r="H196" s="11" t="n">
        <x:v>953</x:v>
      </x:c>
      <x:c r="I196" s="16" t="b">
        <x:v>1</x:v>
      </x:c>
      <x:c r="J196" s="11" t="str">
        <x:v>Consumible</x:v>
      </x:c>
      <x:c r="K196" s="11" t="n">
        <x:v>40</x:v>
      </x:c>
    </x:row>
    <x:row r="197">
      <x:c r="A197" s="11" t="n">
        <x:v>196</x:v>
      </x:c>
      <x:c r="B197" s="11" t="str">
        <x:v>PO-10196</x:v>
      </x:c>
      <x:c r="C197" s="11" t="str">
        <x:v>S003</x:v>
      </x:c>
      <x:c r="D197" s="11" t="str">
        <x:v>Proveedor Bajío</x:v>
      </x:c>
      <x:c r="E197" s="11" t="str">
        <x:v>2026-08-29</x:v>
      </x:c>
      <x:c r="F197" s="11" t="str">
        <x:v>2026-08-29</x:v>
      </x:c>
      <x:c r="G197" s="11" t="n">
        <x:v>276</x:v>
      </x:c>
      <x:c r="H197" s="11" t="n">
        <x:v>243</x:v>
      </x:c>
      <x:c r="I197" s="16" t="b">
        <x:v>1</x:v>
      </x:c>
      <x:c r="J197" s="11" t="str">
        <x:v>Empaque</x:v>
      </x:c>
      <x:c r="K197" s="11" t="n">
        <x:v>42</x:v>
      </x:c>
    </x:row>
    <x:row r="198">
      <x:c r="A198" s="11" t="n">
        <x:v>197</x:v>
      </x:c>
      <x:c r="B198" s="11" t="str">
        <x:v>PO-10197</x:v>
      </x:c>
      <x:c r="C198" s="11" t="str">
        <x:v>S002</x:v>
      </x:c>
      <x:c r="D198" s="11" t="str">
        <x:v>Proveedor Centro</x:v>
      </x:c>
      <x:c r="E198" s="11" t="str">
        <x:v>2026-08-29</x:v>
      </x:c>
      <x:c r="F198" s="11" t="str">
        <x:v>2026-08-29</x:v>
      </x:c>
      <x:c r="G198" s="11" t="n">
        <x:v>420</x:v>
      </x:c>
      <x:c r="H198" s="11" t="n">
        <x:v>394</x:v>
      </x:c>
      <x:c r="I198" s="16" t="b">
        <x:v>1</x:v>
      </x:c>
      <x:c r="J198" s="11" t="str">
        <x:v>Consumible</x:v>
      </x:c>
      <x:c r="K198" s="11" t="n">
        <x:v>58</x:v>
      </x:c>
    </x:row>
    <x:row r="199">
      <x:c r="A199" s="11" t="n">
        <x:v>198</x:v>
      </x:c>
      <x:c r="B199" s="11" t="str">
        <x:v>PO-10198</x:v>
      </x:c>
      <x:c r="C199" s="11" t="str">
        <x:v>S002</x:v>
      </x:c>
      <x:c r="D199" s="11" t="str">
        <x:v>Proveedor Centro</x:v>
      </x:c>
      <x:c r="E199" s="11" t="str">
        <x:v>2026-08-29</x:v>
      </x:c>
      <x:c r="F199" s="11" t="str">
        <x:v>2026-08-29</x:v>
      </x:c>
      <x:c r="G199" s="11" t="n">
        <x:v>528</x:v>
      </x:c>
      <x:c r="H199" s="11" t="n">
        <x:v>497</x:v>
      </x:c>
      <x:c r="I199" s="16" t="b">
        <x:v>1</x:v>
      </x:c>
      <x:c r="J199" s="11" t="str">
        <x:v>Materia prima</x:v>
      </x:c>
      <x:c r="K199" s="11" t="n">
        <x:v>65</x:v>
      </x:c>
    </x:row>
    <x:row r="200">
      <x:c r="A200" s="11" t="n">
        <x:v>199</x:v>
      </x:c>
      <x:c r="B200" s="11" t="str">
        <x:v>PO-10199</x:v>
      </x:c>
      <x:c r="C200" s="11" t="str">
        <x:v>S003</x:v>
      </x:c>
      <x:c r="D200" s="11" t="str">
        <x:v>Proveedor Bajío</x:v>
      </x:c>
      <x:c r="E200" s="11" t="str">
        <x:v>2026-08-31</x:v>
      </x:c>
      <x:c r="F200" s="11" t="str">
        <x:v>2026-08-31</x:v>
      </x:c>
      <x:c r="G200" s="11" t="n">
        <x:v>424</x:v>
      </x:c>
      <x:c r="H200" s="11" t="n">
        <x:v>424</x:v>
      </x:c>
      <x:c r="I200" s="16" t="b">
        <x:v>1</x:v>
      </x:c>
      <x:c r="J200" s="11" t="str">
        <x:v>Materia prima</x:v>
      </x:c>
      <x:c r="K200" s="11" t="n">
        <x:v>63</x:v>
      </x:c>
    </x:row>
    <x:row r="201">
      <x:c r="A201" s="11" t="n">
        <x:v>200</x:v>
      </x:c>
      <x:c r="B201" s="11" t="str">
        <x:v>PO-10200</x:v>
      </x:c>
      <x:c r="C201" s="11" t="str">
        <x:v>S004</x:v>
      </x:c>
      <x:c r="D201" s="11" t="str">
        <x:v>Proveedor Valle</x:v>
      </x:c>
      <x:c r="E201" s="11" t="str">
        <x:v>2026-08-31</x:v>
      </x:c>
      <x:c r="F201" s="11" t="str">
        <x:v>2026-08-31</x:v>
      </x:c>
      <x:c r="G201" s="11" t="n">
        <x:v>333</x:v>
      </x:c>
      <x:c r="H201" s="11" t="n">
        <x:v>333</x:v>
      </x:c>
      <x:c r="I201" s="16" t="b">
        <x:v>1</x:v>
      </x:c>
      <x:c r="J201" s="11" t="str">
        <x:v>Materia prima</x:v>
      </x:c>
      <x:c r="K201" s="11" t="n">
        <x:v>91</x:v>
      </x:c>
    </x:row>
    <x:row r="202">
      <x:c r="A202" s="11" t="n">
        <x:v>201</x:v>
      </x:c>
      <x:c r="B202" s="11" t="str">
        <x:v>PO-10201</x:v>
      </x:c>
      <x:c r="C202" s="11" t="str">
        <x:v>S002</x:v>
      </x:c>
      <x:c r="D202" s="11" t="str">
        <x:v>Proveedor Centro</x:v>
      </x:c>
      <x:c r="E202" s="11" t="str">
        <x:v>2026-08-31</x:v>
      </x:c>
      <x:c r="F202" s="11" t="str">
        <x:v>2026-08-31</x:v>
      </x:c>
      <x:c r="G202" s="11" t="n">
        <x:v>1096</x:v>
      </x:c>
      <x:c r="H202" s="11" t="n">
        <x:v>1049</x:v>
      </x:c>
      <x:c r="I202" s="16" t="b">
        <x:v>1</x:v>
      </x:c>
      <x:c r="J202" s="11" t="str">
        <x:v>Materia prima</x:v>
      </x:c>
      <x:c r="K202" s="11" t="n">
        <x:v>118</x:v>
      </x:c>
    </x:row>
    <x:row r="203">
      <x:c r="A203" s="11" t="n">
        <x:v>202</x:v>
      </x:c>
      <x:c r="B203" s="11" t="str">
        <x:v>PO-10202</x:v>
      </x:c>
      <x:c r="C203" s="11" t="str">
        <x:v>S003</x:v>
      </x:c>
      <x:c r="D203" s="11" t="str">
        <x:v>Proveedor Bajío</x:v>
      </x:c>
      <x:c r="E203" s="11" t="str">
        <x:v>2026-08-31</x:v>
      </x:c>
      <x:c r="F203" s="11" t="str">
        <x:v>2026-08-31</x:v>
      </x:c>
      <x:c r="G203" s="11" t="n">
        <x:v>409</x:v>
      </x:c>
      <x:c r="H203" s="11" t="n">
        <x:v>409</x:v>
      </x:c>
      <x:c r="I203" s="16" t="b">
        <x:v>1</x:v>
      </x:c>
      <x:c r="J203" s="11" t="str">
        <x:v>Materia prima</x:v>
      </x:c>
      <x:c r="K203" s="11" t="n">
        <x:v>110</x:v>
      </x:c>
    </x:row>
    <x:row r="204">
      <x:c r="A204" s="11" t="n">
        <x:v>203</x:v>
      </x:c>
      <x:c r="B204" s="11" t="str">
        <x:v>PO-10203</x:v>
      </x:c>
      <x:c r="C204" s="11" t="str">
        <x:v>S004</x:v>
      </x:c>
      <x:c r="D204" s="11" t="str">
        <x:v>Proveedor Valle</x:v>
      </x:c>
      <x:c r="E204" s="11" t="str">
        <x:v>2026-09-01</x:v>
      </x:c>
      <x:c r="F204" s="11" t="str">
        <x:v>2026-09-06</x:v>
      </x:c>
      <x:c r="G204" s="11" t="n">
        <x:v>1036</x:v>
      </x:c>
      <x:c r="H204" s="11" t="n">
        <x:v>1036</x:v>
      </x:c>
      <x:c r="I204" s="16" t="b">
        <x:v>0</x:v>
      </x:c>
      <x:c r="J204" s="11" t="str">
        <x:v>Materia prima</x:v>
      </x:c>
      <x:c r="K204" s="11" t="n">
        <x:v>91</x:v>
      </x:c>
    </x:row>
    <x:row r="205">
      <x:c r="A205" s="11" t="n">
        <x:v>204</x:v>
      </x:c>
      <x:c r="B205" s="11" t="str">
        <x:v>PO-10204</x:v>
      </x:c>
      <x:c r="C205" s="11" t="str">
        <x:v>S001</x:v>
      </x:c>
      <x:c r="D205" s="11" t="str">
        <x:v>Proveedor Norte</x:v>
      </x:c>
      <x:c r="E205" s="11" t="str">
        <x:v>2026-09-01</x:v>
      </x:c>
      <x:c r="F205" s="11" t="str">
        <x:v>2026-09-01</x:v>
      </x:c>
      <x:c r="G205" s="11" t="n">
        <x:v>1138</x:v>
      </x:c>
      <x:c r="H205" s="11" t="n">
        <x:v>1065</x:v>
      </x:c>
      <x:c r="I205" s="16" t="b">
        <x:v>1</x:v>
      </x:c>
      <x:c r="J205" s="11" t="str">
        <x:v>Materia prima</x:v>
      </x:c>
      <x:c r="K205" s="11" t="n">
        <x:v>46</x:v>
      </x:c>
    </x:row>
    <x:row r="206">
      <x:c r="A206" s="11" t="n">
        <x:v>205</x:v>
      </x:c>
      <x:c r="B206" s="11" t="str">
        <x:v>PO-10205</x:v>
      </x:c>
      <x:c r="C206" s="11" t="str">
        <x:v>S002</x:v>
      </x:c>
      <x:c r="D206" s="11" t="str">
        <x:v>Proveedor Centro</x:v>
      </x:c>
      <x:c r="E206" s="11" t="str">
        <x:v>2026-09-02</x:v>
      </x:c>
      <x:c r="F206" s="11" t="str">
        <x:v>2026-09-02</x:v>
      </x:c>
      <x:c r="G206" s="11" t="n">
        <x:v>698</x:v>
      </x:c>
      <x:c r="H206" s="11" t="n">
        <x:v>651</x:v>
      </x:c>
      <x:c r="I206" s="16" t="b">
        <x:v>1</x:v>
      </x:c>
      <x:c r="J206" s="11" t="str">
        <x:v>Materia prima</x:v>
      </x:c>
      <x:c r="K206" s="11" t="n">
        <x:v>39</x:v>
      </x:c>
    </x:row>
    <x:row r="207">
      <x:c r="A207" s="11" t="n">
        <x:v>206</x:v>
      </x:c>
      <x:c r="B207" s="11" t="str">
        <x:v>PO-10206</x:v>
      </x:c>
      <x:c r="C207" s="11" t="str">
        <x:v>S003</x:v>
      </x:c>
      <x:c r="D207" s="11" t="str">
        <x:v>Proveedor Bajío</x:v>
      </x:c>
      <x:c r="E207" s="11" t="str">
        <x:v>2026-09-02</x:v>
      </x:c>
      <x:c r="F207" s="11" t="str">
        <x:v>2026-09-02</x:v>
      </x:c>
      <x:c r="G207" s="11" t="n">
        <x:v>785</x:v>
      </x:c>
      <x:c r="H207" s="11" t="n">
        <x:v>676</x:v>
      </x:c>
      <x:c r="I207" s="16" t="b">
        <x:v>1</x:v>
      </x:c>
      <x:c r="J207" s="11" t="str">
        <x:v>Materia prima</x:v>
      </x:c>
      <x:c r="K207" s="11" t="n">
        <x:v>45</x:v>
      </x:c>
    </x:row>
    <x:row r="208">
      <x:c r="A208" s="11" t="n">
        <x:v>207</x:v>
      </x:c>
      <x:c r="B208" s="11" t="str">
        <x:v>PO-10207</x:v>
      </x:c>
      <x:c r="C208" s="11" t="str">
        <x:v>S004</x:v>
      </x:c>
      <x:c r="D208" s="11" t="str">
        <x:v>Proveedor Valle</x:v>
      </x:c>
      <x:c r="E208" s="11" t="str">
        <x:v>2026-09-02</x:v>
      </x:c>
      <x:c r="F208" s="11" t="str">
        <x:v>2026-09-02</x:v>
      </x:c>
      <x:c r="G208" s="11" t="n">
        <x:v>951</x:v>
      </x:c>
      <x:c r="H208" s="11" t="n">
        <x:v>913</x:v>
      </x:c>
      <x:c r="I208" s="16" t="b">
        <x:v>1</x:v>
      </x:c>
      <x:c r="J208" s="11" t="str">
        <x:v>Consumible</x:v>
      </x:c>
      <x:c r="K208" s="11" t="n">
        <x:v>63</x:v>
      </x:c>
    </x:row>
    <x:row r="209">
      <x:c r="A209" s="11" t="n">
        <x:v>208</x:v>
      </x:c>
      <x:c r="B209" s="11" t="str">
        <x:v>PO-10208</x:v>
      </x:c>
      <x:c r="C209" s="11" t="str">
        <x:v>S003</x:v>
      </x:c>
      <x:c r="D209" s="11" t="str">
        <x:v>Proveedor Bajío</x:v>
      </x:c>
      <x:c r="E209" s="11" t="str">
        <x:v>2026-09-02</x:v>
      </x:c>
      <x:c r="F209" s="11" t="str">
        <x:v>2026-09-02</x:v>
      </x:c>
      <x:c r="G209" s="11" t="n">
        <x:v>1134</x:v>
      </x:c>
      <x:c r="H209" s="11" t="n">
        <x:v>1080</x:v>
      </x:c>
      <x:c r="I209" s="16" t="b">
        <x:v>1</x:v>
      </x:c>
      <x:c r="J209" s="11" t="str">
        <x:v>Refacción</x:v>
      </x:c>
      <x:c r="K209" s="11" t="n">
        <x:v>67</x:v>
      </x:c>
    </x:row>
    <x:row r="210">
      <x:c r="A210" s="11" t="n">
        <x:v>209</x:v>
      </x:c>
      <x:c r="B210" s="11" t="str">
        <x:v>PO-10209</x:v>
      </x:c>
      <x:c r="C210" s="11" t="str">
        <x:v>S003</x:v>
      </x:c>
      <x:c r="D210" s="11" t="str">
        <x:v>Proveedor Bajío</x:v>
      </x:c>
      <x:c r="E210" s="11" t="str">
        <x:v>2026-09-03</x:v>
      </x:c>
      <x:c r="F210" s="11" t="str">
        <x:v>2026-09-03</x:v>
      </x:c>
      <x:c r="G210" s="11" t="n">
        <x:v>602</x:v>
      </x:c>
      <x:c r="H210" s="11" t="n">
        <x:v>602</x:v>
      </x:c>
      <x:c r="I210" s="16" t="b">
        <x:v>1</x:v>
      </x:c>
      <x:c r="J210" s="11" t="str">
        <x:v>Empaque</x:v>
      </x:c>
      <x:c r="K210" s="11" t="n">
        <x:v>37</x:v>
      </x:c>
    </x:row>
    <x:row r="211">
      <x:c r="A211" s="11" t="n">
        <x:v>210</x:v>
      </x:c>
      <x:c r="B211" s="11" t="str">
        <x:v>PO-10210</x:v>
      </x:c>
      <x:c r="C211" s="11" t="str">
        <x:v>S004</x:v>
      </x:c>
      <x:c r="D211" s="11" t="str">
        <x:v>Proveedor Valle</x:v>
      </x:c>
      <x:c r="E211" s="11" t="str">
        <x:v>2026-09-03</x:v>
      </x:c>
      <x:c r="F211" s="11" t="str">
        <x:v>2026-09-07</x:v>
      </x:c>
      <x:c r="G211" s="11" t="n">
        <x:v>946</x:v>
      </x:c>
      <x:c r="H211" s="11" t="n">
        <x:v>946</x:v>
      </x:c>
      <x:c r="I211" s="16" t="b">
        <x:v>0</x:v>
      </x:c>
      <x:c r="J211" s="11" t="str">
        <x:v>Refacción</x:v>
      </x:c>
      <x:c r="K211" s="11" t="n">
        <x:v>23</x:v>
      </x:c>
    </x:row>
    <x:row r="212">
      <x:c r="A212" s="11" t="n">
        <x:v>211</x:v>
      </x:c>
      <x:c r="B212" s="11" t="str">
        <x:v>PO-10211</x:v>
      </x:c>
      <x:c r="C212" s="11" t="str">
        <x:v>S004</x:v>
      </x:c>
      <x:c r="D212" s="11" t="str">
        <x:v>Proveedor Valle</x:v>
      </x:c>
      <x:c r="E212" s="11" t="str">
        <x:v>2026-09-03</x:v>
      </x:c>
      <x:c r="F212" s="11" t="str">
        <x:v>2026-09-03</x:v>
      </x:c>
      <x:c r="G212" s="11" t="n">
        <x:v>398</x:v>
      </x:c>
      <x:c r="H212" s="11" t="n">
        <x:v>386</x:v>
      </x:c>
      <x:c r="I212" s="16" t="b">
        <x:v>1</x:v>
      </x:c>
      <x:c r="J212" s="11" t="str">
        <x:v>Materia prima</x:v>
      </x:c>
      <x:c r="K212" s="11" t="n">
        <x:v>30</x:v>
      </x:c>
    </x:row>
    <x:row r="213">
      <x:c r="A213" s="11" t="n">
        <x:v>212</x:v>
      </x:c>
      <x:c r="B213" s="11" t="str">
        <x:v>PO-10212</x:v>
      </x:c>
      <x:c r="C213" s="11" t="str">
        <x:v>S003</x:v>
      </x:c>
      <x:c r="D213" s="11" t="str">
        <x:v>Proveedor Bajío</x:v>
      </x:c>
      <x:c r="E213" s="11" t="str">
        <x:v>2026-09-03</x:v>
      </x:c>
      <x:c r="F213" s="11" t="str">
        <x:v>2026-09-03</x:v>
      </x:c>
      <x:c r="G213" s="11" t="n">
        <x:v>744</x:v>
      </x:c>
      <x:c r="H213" s="11" t="n">
        <x:v>643</x:v>
      </x:c>
      <x:c r="I213" s="16" t="b">
        <x:v>1</x:v>
      </x:c>
      <x:c r="J213" s="11" t="str">
        <x:v>Empaque</x:v>
      </x:c>
      <x:c r="K213" s="11" t="n">
        <x:v>75</x:v>
      </x:c>
    </x:row>
    <x:row r="214">
      <x:c r="A214" s="11" t="n">
        <x:v>213</x:v>
      </x:c>
      <x:c r="B214" s="11" t="str">
        <x:v>PO-10213</x:v>
      </x:c>
      <x:c r="C214" s="11" t="str">
        <x:v>S001</x:v>
      </x:c>
      <x:c r="D214" s="11" t="str">
        <x:v>Proveedor Norte</x:v>
      </x:c>
      <x:c r="E214" s="11" t="str">
        <x:v>2026-09-03</x:v>
      </x:c>
      <x:c r="F214" s="11" t="str">
        <x:v>2026-09-03</x:v>
      </x:c>
      <x:c r="G214" s="11" t="n">
        <x:v>905</x:v>
      </x:c>
      <x:c r="H214" s="11" t="n">
        <x:v>873</x:v>
      </x:c>
      <x:c r="I214" s="16" t="b">
        <x:v>1</x:v>
      </x:c>
      <x:c r="J214" s="11" t="str">
        <x:v>Materia prima</x:v>
      </x:c>
      <x:c r="K214" s="11" t="n">
        <x:v>100</x:v>
      </x:c>
    </x:row>
    <x:row r="215">
      <x:c r="A215" s="11" t="n">
        <x:v>214</x:v>
      </x:c>
      <x:c r="B215" s="11" t="str">
        <x:v>PO-10214</x:v>
      </x:c>
      <x:c r="C215" s="11" t="str">
        <x:v>S004</x:v>
      </x:c>
      <x:c r="D215" s="11" t="str">
        <x:v>Proveedor Valle</x:v>
      </x:c>
      <x:c r="E215" s="11" t="str">
        <x:v>2026-09-04</x:v>
      </x:c>
      <x:c r="F215" s="11" t="str">
        <x:v>2026-09-04</x:v>
      </x:c>
      <x:c r="G215" s="11" t="n">
        <x:v>923</x:v>
      </x:c>
      <x:c r="H215" s="11" t="n">
        <x:v>804</x:v>
      </x:c>
      <x:c r="I215" s="16" t="b">
        <x:v>1</x:v>
      </x:c>
      <x:c r="J215" s="11" t="str">
        <x:v>Refacción</x:v>
      </x:c>
      <x:c r="K215" s="11" t="n">
        <x:v>112</x:v>
      </x:c>
    </x:row>
    <x:row r="216">
      <x:c r="A216" s="11" t="n">
        <x:v>215</x:v>
      </x:c>
      <x:c r="B216" s="11" t="str">
        <x:v>PO-10215</x:v>
      </x:c>
      <x:c r="C216" s="11" t="str">
        <x:v>S003</x:v>
      </x:c>
      <x:c r="D216" s="11" t="str">
        <x:v>Proveedor Bajío</x:v>
      </x:c>
      <x:c r="E216" s="11" t="str">
        <x:v>2026-09-04</x:v>
      </x:c>
      <x:c r="F216" s="11" t="str">
        <x:v>2026-09-04</x:v>
      </x:c>
      <x:c r="G216" s="11" t="n">
        <x:v>804</x:v>
      </x:c>
      <x:c r="H216" s="11" t="n">
        <x:v>804</x:v>
      </x:c>
      <x:c r="I216" s="16" t="b">
        <x:v>1</x:v>
      </x:c>
      <x:c r="J216" s="11" t="str">
        <x:v>Empaque</x:v>
      </x:c>
      <x:c r="K216" s="11" t="n">
        <x:v>109</x:v>
      </x:c>
    </x:row>
    <x:row r="217">
      <x:c r="A217" s="11" t="n">
        <x:v>216</x:v>
      </x:c>
      <x:c r="B217" s="11" t="str">
        <x:v>PO-10216</x:v>
      </x:c>
      <x:c r="C217" s="11" t="str">
        <x:v>S004</x:v>
      </x:c>
      <x:c r="D217" s="11" t="str">
        <x:v>Proveedor Valle</x:v>
      </x:c>
      <x:c r="E217" s="11" t="str">
        <x:v>2026-09-04</x:v>
      </x:c>
      <x:c r="F217" s="11" t="str">
        <x:v>2026-09-04</x:v>
      </x:c>
      <x:c r="G217" s="11" t="n">
        <x:v>1013</x:v>
      </x:c>
      <x:c r="H217" s="11" t="n">
        <x:v>974</x:v>
      </x:c>
      <x:c r="I217" s="16" t="b">
        <x:v>1</x:v>
      </x:c>
      <x:c r="J217" s="11" t="str">
        <x:v>Consumible</x:v>
      </x:c>
      <x:c r="K217" s="11" t="n">
        <x:v>109</x:v>
      </x:c>
    </x:row>
    <x:row r="218">
      <x:c r="A218" s="11" t="n">
        <x:v>217</x:v>
      </x:c>
      <x:c r="B218" s="11" t="str">
        <x:v>PO-10217</x:v>
      </x:c>
      <x:c r="C218" s="11" t="str">
        <x:v>S003</x:v>
      </x:c>
      <x:c r="D218" s="11" t="str">
        <x:v>Proveedor Bajío</x:v>
      </x:c>
      <x:c r="E218" s="11" t="str">
        <x:v>2026-09-04</x:v>
      </x:c>
      <x:c r="F218" s="11" t="str">
        <x:v>2026-09-04</x:v>
      </x:c>
      <x:c r="G218" s="11" t="n">
        <x:v>928</x:v>
      </x:c>
      <x:c r="H218" s="11" t="n">
        <x:v>909</x:v>
      </x:c>
      <x:c r="I218" s="16" t="b">
        <x:v>1</x:v>
      </x:c>
      <x:c r="J218" s="11" t="str">
        <x:v>Refacción</x:v>
      </x:c>
      <x:c r="K218" s="11" t="n">
        <x:v>69</x:v>
      </x:c>
    </x:row>
    <x:row r="219">
      <x:c r="A219" s="11" t="n">
        <x:v>218</x:v>
      </x:c>
      <x:c r="B219" s="11" t="str">
        <x:v>PO-10218</x:v>
      </x:c>
      <x:c r="C219" s="11" t="str">
        <x:v>S003</x:v>
      </x:c>
      <x:c r="D219" s="11" t="str">
        <x:v>Proveedor Bajío</x:v>
      </x:c>
      <x:c r="E219" s="11" t="str">
        <x:v>2026-09-05</x:v>
      </x:c>
      <x:c r="F219" s="11" t="str">
        <x:v>2026-09-05</x:v>
      </x:c>
      <x:c r="G219" s="11" t="n">
        <x:v>537</x:v>
      </x:c>
      <x:c r="H219" s="11" t="n">
        <x:v>449</x:v>
      </x:c>
      <x:c r="I219" s="16" t="b">
        <x:v>1</x:v>
      </x:c>
      <x:c r="J219" s="11" t="str">
        <x:v>Refacción</x:v>
      </x:c>
      <x:c r="K219" s="11" t="n">
        <x:v>86</x:v>
      </x:c>
    </x:row>
    <x:row r="220">
      <x:c r="A220" s="11" t="n">
        <x:v>219</x:v>
      </x:c>
      <x:c r="B220" s="11" t="str">
        <x:v>PO-10219</x:v>
      </x:c>
      <x:c r="C220" s="11" t="str">
        <x:v>S003</x:v>
      </x:c>
      <x:c r="D220" s="11" t="str">
        <x:v>Proveedor Bajío</x:v>
      </x:c>
      <x:c r="E220" s="11" t="str">
        <x:v>2026-09-05</x:v>
      </x:c>
      <x:c r="F220" s="11" t="str">
        <x:v>2026-09-05</x:v>
      </x:c>
      <x:c r="G220" s="11" t="n">
        <x:v>427</x:v>
      </x:c>
      <x:c r="H220" s="11" t="n">
        <x:v>427</x:v>
      </x:c>
      <x:c r="I220" s="16" t="b">
        <x:v>1</x:v>
      </x:c>
      <x:c r="J220" s="11" t="str">
        <x:v>Refacción</x:v>
      </x:c>
      <x:c r="K220" s="11" t="n">
        <x:v>50</x:v>
      </x:c>
    </x:row>
    <x:row r="221">
      <x:c r="A221" s="11" t="n">
        <x:v>220</x:v>
      </x:c>
      <x:c r="B221" s="11" t="str">
        <x:v>PO-10220</x:v>
      </x:c>
      <x:c r="C221" s="11" t="str">
        <x:v>S003</x:v>
      </x:c>
      <x:c r="D221" s="11" t="str">
        <x:v>Proveedor Bajío</x:v>
      </x:c>
      <x:c r="E221" s="11" t="str">
        <x:v>2026-09-05</x:v>
      </x:c>
      <x:c r="F221" s="11" t="str">
        <x:v>2026-09-06</x:v>
      </x:c>
      <x:c r="G221" s="11" t="n">
        <x:v>965</x:v>
      </x:c>
      <x:c r="H221" s="11" t="n">
        <x:v>944</x:v>
      </x:c>
      <x:c r="I221" s="16" t="b">
        <x:v>0</x:v>
      </x:c>
      <x:c r="J221" s="11" t="str">
        <x:v>Materia prima</x:v>
      </x:c>
      <x:c r="K221" s="11" t="n">
        <x:v>67</x:v>
      </x:c>
    </x:row>
    <x:row r="222">
      <x:c r="A222" s="11" t="n">
        <x:v>221</x:v>
      </x:c>
      <x:c r="B222" s="11" t="str">
        <x:v>PO-10221</x:v>
      </x:c>
      <x:c r="C222" s="11" t="str">
        <x:v>S003</x:v>
      </x:c>
      <x:c r="D222" s="11" t="str">
        <x:v>Proveedor Bajío</x:v>
      </x:c>
      <x:c r="E222" s="11" t="str">
        <x:v>2026-09-07</x:v>
      </x:c>
      <x:c r="F222" s="11" t="str">
        <x:v>2026-09-07</x:v>
      </x:c>
      <x:c r="G222" s="11" t="n">
        <x:v>353</x:v>
      </x:c>
      <x:c r="H222" s="11" t="n">
        <x:v>353</x:v>
      </x:c>
      <x:c r="I222" s="16" t="b">
        <x:v>1</x:v>
      </x:c>
      <x:c r="J222" s="11" t="str">
        <x:v>Refacción</x:v>
      </x:c>
      <x:c r="K222" s="11" t="n">
        <x:v>93</x:v>
      </x:c>
    </x:row>
    <x:row r="223">
      <x:c r="A223" s="11" t="n">
        <x:v>222</x:v>
      </x:c>
      <x:c r="B223" s="11" t="str">
        <x:v>PO-10222</x:v>
      </x:c>
      <x:c r="C223" s="11" t="str">
        <x:v>S001</x:v>
      </x:c>
      <x:c r="D223" s="11" t="str">
        <x:v>Proveedor Norte</x:v>
      </x:c>
      <x:c r="E223" s="11" t="str">
        <x:v>2026-09-07</x:v>
      </x:c>
      <x:c r="F223" s="11" t="str">
        <x:v>2026-09-07</x:v>
      </x:c>
      <x:c r="G223" s="11" t="n">
        <x:v>1028</x:v>
      </x:c>
      <x:c r="H223" s="11" t="n">
        <x:v>1013</x:v>
      </x:c>
      <x:c r="I223" s="16" t="b">
        <x:v>1</x:v>
      </x:c>
      <x:c r="J223" s="11" t="str">
        <x:v>Empaque</x:v>
      </x:c>
      <x:c r="K223" s="11" t="n">
        <x:v>115</x:v>
      </x:c>
    </x:row>
    <x:row r="224">
      <x:c r="A224" s="11" t="n">
        <x:v>223</x:v>
      </x:c>
      <x:c r="B224" s="11" t="str">
        <x:v>PO-10223</x:v>
      </x:c>
      <x:c r="C224" s="11" t="str">
        <x:v>S002</x:v>
      </x:c>
      <x:c r="D224" s="11" t="str">
        <x:v>Proveedor Centro</x:v>
      </x:c>
      <x:c r="E224" s="11" t="str">
        <x:v>2026-09-07</x:v>
      </x:c>
      <x:c r="F224" s="11" t="str">
        <x:v>2026-09-07</x:v>
      </x:c>
      <x:c r="G224" s="11" t="n">
        <x:v>817</x:v>
      </x:c>
      <x:c r="H224" s="11" t="n">
        <x:v>762</x:v>
      </x:c>
      <x:c r="I224" s="16" t="b">
        <x:v>1</x:v>
      </x:c>
      <x:c r="J224" s="11" t="str">
        <x:v>Empaque</x:v>
      </x:c>
      <x:c r="K224" s="11" t="n">
        <x:v>111</x:v>
      </x:c>
    </x:row>
    <x:row r="225">
      <x:c r="A225" s="11" t="n">
        <x:v>224</x:v>
      </x:c>
      <x:c r="B225" s="11" t="str">
        <x:v>PO-10224</x:v>
      </x:c>
      <x:c r="C225" s="11" t="str">
        <x:v>S004</x:v>
      </x:c>
      <x:c r="D225" s="11" t="str">
        <x:v>Proveedor Valle</x:v>
      </x:c>
      <x:c r="E225" s="11" t="str">
        <x:v>2026-09-07</x:v>
      </x:c>
      <x:c r="F225" s="11" t="str">
        <x:v>2026-09-07</x:v>
      </x:c>
      <x:c r="G225" s="11" t="n">
        <x:v>1164</x:v>
      </x:c>
      <x:c r="H225" s="11" t="n">
        <x:v>1164</x:v>
      </x:c>
      <x:c r="I225" s="16" t="b">
        <x:v>1</x:v>
      </x:c>
      <x:c r="J225" s="11" t="str">
        <x:v>Materia prima</x:v>
      </x:c>
      <x:c r="K225" s="11" t="n">
        <x:v>61</x:v>
      </x:c>
    </x:row>
    <x:row r="226">
      <x:c r="A226" s="11" t="n">
        <x:v>225</x:v>
      </x:c>
      <x:c r="B226" s="11" t="str">
        <x:v>PO-10225</x:v>
      </x:c>
      <x:c r="C226" s="11" t="str">
        <x:v>S003</x:v>
      </x:c>
      <x:c r="D226" s="11" t="str">
        <x:v>Proveedor Bajío</x:v>
      </x:c>
      <x:c r="E226" s="11" t="str">
        <x:v>2026-09-08</x:v>
      </x:c>
      <x:c r="F226" s="11" t="str">
        <x:v>2026-09-08</x:v>
      </x:c>
      <x:c r="G226" s="11" t="n">
        <x:v>1030</x:v>
      </x:c>
      <x:c r="H226" s="11" t="n">
        <x:v>1030</x:v>
      </x:c>
      <x:c r="I226" s="16" t="b">
        <x:v>1</x:v>
      </x:c>
      <x:c r="J226" s="11" t="str">
        <x:v>Materia prima</x:v>
      </x:c>
      <x:c r="K226" s="11" t="n">
        <x:v>31</x:v>
      </x:c>
    </x:row>
    <x:row r="227">
      <x:c r="A227" s="11" t="n">
        <x:v>226</x:v>
      </x:c>
      <x:c r="B227" s="11" t="str">
        <x:v>PO-10226</x:v>
      </x:c>
      <x:c r="C227" s="11" t="str">
        <x:v>S001</x:v>
      </x:c>
      <x:c r="D227" s="11" t="str">
        <x:v>Proveedor Norte</x:v>
      </x:c>
      <x:c r="E227" s="11" t="str">
        <x:v>2026-09-08</x:v>
      </x:c>
      <x:c r="F227" s="11" t="str">
        <x:v>2026-09-08</x:v>
      </x:c>
      <x:c r="G227" s="11" t="n">
        <x:v>970</x:v>
      </x:c>
      <x:c r="H227" s="11" t="n">
        <x:v>970</x:v>
      </x:c>
      <x:c r="I227" s="16" t="b">
        <x:v>1</x:v>
      </x:c>
      <x:c r="J227" s="11" t="str">
        <x:v>Consumible</x:v>
      </x:c>
      <x:c r="K227" s="11" t="n">
        <x:v>47</x:v>
      </x:c>
    </x:row>
    <x:row r="228">
      <x:c r="A228" s="11" t="n">
        <x:v>227</x:v>
      </x:c>
      <x:c r="B228" s="11" t="str">
        <x:v>PO-10227</x:v>
      </x:c>
      <x:c r="C228" s="11" t="str">
        <x:v>S004</x:v>
      </x:c>
      <x:c r="D228" s="11" t="str">
        <x:v>Proveedor Valle</x:v>
      </x:c>
      <x:c r="E228" s="11" t="str">
        <x:v>2026-09-08</x:v>
      </x:c>
      <x:c r="F228" s="11" t="str">
        <x:v>2026-09-08</x:v>
      </x:c>
      <x:c r="G228" s="11" t="n">
        <x:v>259</x:v>
      </x:c>
      <x:c r="H228" s="11" t="n">
        <x:v>235</x:v>
      </x:c>
      <x:c r="I228" s="16" t="b">
        <x:v>1</x:v>
      </x:c>
      <x:c r="J228" s="11" t="str">
        <x:v>Consumible</x:v>
      </x:c>
      <x:c r="K228" s="11" t="n">
        <x:v>53</x:v>
      </x:c>
    </x:row>
    <x:row r="229">
      <x:c r="A229" s="11" t="n">
        <x:v>228</x:v>
      </x:c>
      <x:c r="B229" s="11" t="str">
        <x:v>PO-10228</x:v>
      </x:c>
      <x:c r="C229" s="11" t="str">
        <x:v>S004</x:v>
      </x:c>
      <x:c r="D229" s="11" t="str">
        <x:v>Proveedor Valle</x:v>
      </x:c>
      <x:c r="E229" s="11" t="str">
        <x:v>2026-09-09</x:v>
      </x:c>
      <x:c r="F229" s="11" t="str">
        <x:v>2026-09-09</x:v>
      </x:c>
      <x:c r="G229" s="11" t="n">
        <x:v>1001</x:v>
      </x:c>
      <x:c r="H229" s="11" t="n">
        <x:v>1001</x:v>
      </x:c>
      <x:c r="I229" s="16" t="b">
        <x:v>1</x:v>
      </x:c>
      <x:c r="J229" s="11" t="str">
        <x:v>Consumible</x:v>
      </x:c>
      <x:c r="K229" s="11" t="n">
        <x:v>113</x:v>
      </x:c>
    </x:row>
    <x:row r="230">
      <x:c r="A230" s="11" t="n">
        <x:v>229</x:v>
      </x:c>
      <x:c r="B230" s="11" t="str">
        <x:v>PO-10229</x:v>
      </x:c>
      <x:c r="C230" s="11" t="str">
        <x:v>S004</x:v>
      </x:c>
      <x:c r="D230" s="11" t="str">
        <x:v>Proveedor Valle</x:v>
      </x:c>
      <x:c r="E230" s="11" t="str">
        <x:v>2026-09-09</x:v>
      </x:c>
      <x:c r="F230" s="11" t="str">
        <x:v>2026-09-09</x:v>
      </x:c>
      <x:c r="G230" s="11" t="n">
        <x:v>433</x:v>
      </x:c>
      <x:c r="H230" s="11" t="n">
        <x:v>424</x:v>
      </x:c>
      <x:c r="I230" s="16" t="b">
        <x:v>1</x:v>
      </x:c>
      <x:c r="J230" s="11" t="str">
        <x:v>Empaque</x:v>
      </x:c>
      <x:c r="K230" s="11" t="n">
        <x:v>110</x:v>
      </x:c>
    </x:row>
    <x:row r="231">
      <x:c r="A231" s="11" t="n">
        <x:v>230</x:v>
      </x:c>
      <x:c r="B231" s="11" t="str">
        <x:v>PO-10230</x:v>
      </x:c>
      <x:c r="C231" s="11" t="str">
        <x:v>S001</x:v>
      </x:c>
      <x:c r="D231" s="11" t="str">
        <x:v>Proveedor Norte</x:v>
      </x:c>
      <x:c r="E231" s="11" t="str">
        <x:v>2026-09-09</x:v>
      </x:c>
      <x:c r="F231" s="11" t="str">
        <x:v>2026-09-09</x:v>
      </x:c>
      <x:c r="G231" s="11" t="n">
        <x:v>535</x:v>
      </x:c>
      <x:c r="H231" s="11" t="n">
        <x:v>526</x:v>
      </x:c>
      <x:c r="I231" s="16" t="b">
        <x:v>1</x:v>
      </x:c>
      <x:c r="J231" s="11" t="str">
        <x:v>Materia prima</x:v>
      </x:c>
      <x:c r="K231" s="11" t="n">
        <x:v>115</x:v>
      </x:c>
    </x:row>
    <x:row r="232">
      <x:c r="A232" s="11" t="n">
        <x:v>231</x:v>
      </x:c>
      <x:c r="B232" s="11" t="str">
        <x:v>PO-10231</x:v>
      </x:c>
      <x:c r="C232" s="11" t="str">
        <x:v>S002</x:v>
      </x:c>
      <x:c r="D232" s="11" t="str">
        <x:v>Proveedor Centro</x:v>
      </x:c>
      <x:c r="E232" s="11" t="str">
        <x:v>2026-09-09</x:v>
      </x:c>
      <x:c r="F232" s="11" t="str">
        <x:v>2026-09-09</x:v>
      </x:c>
      <x:c r="G232" s="11" t="n">
        <x:v>856</x:v>
      </x:c>
      <x:c r="H232" s="11" t="n">
        <x:v>844</x:v>
      </x:c>
      <x:c r="I232" s="16" t="b">
        <x:v>1</x:v>
      </x:c>
      <x:c r="J232" s="11" t="str">
        <x:v>Materia prima</x:v>
      </x:c>
      <x:c r="K232" s="11" t="n">
        <x:v>35</x:v>
      </x:c>
    </x:row>
    <x:row r="233">
      <x:c r="A233" s="11" t="n">
        <x:v>232</x:v>
      </x:c>
      <x:c r="B233" s="11" t="str">
        <x:v>PO-10232</x:v>
      </x:c>
      <x:c r="C233" s="11" t="str">
        <x:v>S003</x:v>
      </x:c>
      <x:c r="D233" s="11" t="str">
        <x:v>Proveedor Bajío</x:v>
      </x:c>
      <x:c r="E233" s="11" t="str">
        <x:v>2026-09-09</x:v>
      </x:c>
      <x:c r="F233" s="11" t="str">
        <x:v>2026-09-09</x:v>
      </x:c>
      <x:c r="G233" s="11" t="n">
        <x:v>693</x:v>
      </x:c>
      <x:c r="H233" s="11" t="n">
        <x:v>655</x:v>
      </x:c>
      <x:c r="I233" s="16" t="b">
        <x:v>1</x:v>
      </x:c>
      <x:c r="J233" s="11" t="str">
        <x:v>Empaque</x:v>
      </x:c>
      <x:c r="K233" s="11" t="n">
        <x:v>35</x:v>
      </x:c>
    </x:row>
    <x:row r="234">
      <x:c r="A234" s="11" t="n">
        <x:v>233</x:v>
      </x:c>
      <x:c r="B234" s="11" t="str">
        <x:v>PO-10233</x:v>
      </x:c>
      <x:c r="C234" s="11" t="str">
        <x:v>S003</x:v>
      </x:c>
      <x:c r="D234" s="11" t="str">
        <x:v>Proveedor Bajío</x:v>
      </x:c>
      <x:c r="E234" s="11" t="str">
        <x:v>2026-09-10</x:v>
      </x:c>
      <x:c r="F234" s="11" t="str">
        <x:v>2026-09-10</x:v>
      </x:c>
      <x:c r="G234" s="11" t="n">
        <x:v>866</x:v>
      </x:c>
      <x:c r="H234" s="11" t="n">
        <x:v>811</x:v>
      </x:c>
      <x:c r="I234" s="16" t="b">
        <x:v>1</x:v>
      </x:c>
      <x:c r="J234" s="11" t="str">
        <x:v>Empaque</x:v>
      </x:c>
      <x:c r="K234" s="11" t="n">
        <x:v>120</x:v>
      </x:c>
    </x:row>
    <x:row r="235">
      <x:c r="A235" s="11" t="n">
        <x:v>234</x:v>
      </x:c>
      <x:c r="B235" s="11" t="str">
        <x:v>PO-10234</x:v>
      </x:c>
      <x:c r="C235" s="11" t="str">
        <x:v>S004</x:v>
      </x:c>
      <x:c r="D235" s="11" t="str">
        <x:v>Proveedor Valle</x:v>
      </x:c>
      <x:c r="E235" s="11" t="str">
        <x:v>2026-09-10</x:v>
      </x:c>
      <x:c r="F235" s="11" t="str">
        <x:v>2026-09-13</x:v>
      </x:c>
      <x:c r="G235" s="11" t="n">
        <x:v>199</x:v>
      </x:c>
      <x:c r="H235" s="11" t="n">
        <x:v>199</x:v>
      </x:c>
      <x:c r="I235" s="16" t="b">
        <x:v>0</x:v>
      </x:c>
      <x:c r="J235" s="11" t="str">
        <x:v>Refacción</x:v>
      </x:c>
      <x:c r="K235" s="11" t="n">
        <x:v>47</x:v>
      </x:c>
    </x:row>
    <x:row r="236">
      <x:c r="A236" s="11" t="n">
        <x:v>235</x:v>
      </x:c>
      <x:c r="B236" s="11" t="str">
        <x:v>PO-10235</x:v>
      </x:c>
      <x:c r="C236" s="11" t="str">
        <x:v>S002</x:v>
      </x:c>
      <x:c r="D236" s="11" t="str">
        <x:v>Proveedor Centro</x:v>
      </x:c>
      <x:c r="E236" s="11" t="str">
        <x:v>2026-09-10</x:v>
      </x:c>
      <x:c r="F236" s="11" t="str">
        <x:v>2026-09-10</x:v>
      </x:c>
      <x:c r="G236" s="11" t="n">
        <x:v>1101</x:v>
      </x:c>
      <x:c r="H236" s="11" t="n">
        <x:v>1101</x:v>
      </x:c>
      <x:c r="I236" s="16" t="b">
        <x:v>1</x:v>
      </x:c>
      <x:c r="J236" s="11" t="str">
        <x:v>Materia prima</x:v>
      </x:c>
      <x:c r="K236" s="11" t="n">
        <x:v>73</x:v>
      </x:c>
    </x:row>
    <x:row r="237">
      <x:c r="A237" s="11" t="n">
        <x:v>236</x:v>
      </x:c>
      <x:c r="B237" s="11" t="str">
        <x:v>PO-10236</x:v>
      </x:c>
      <x:c r="C237" s="11" t="str">
        <x:v>S004</x:v>
      </x:c>
      <x:c r="D237" s="11" t="str">
        <x:v>Proveedor Valle</x:v>
      </x:c>
      <x:c r="E237" s="11" t="str">
        <x:v>2026-09-10</x:v>
      </x:c>
      <x:c r="F237" s="11" t="str">
        <x:v>2026-09-10</x:v>
      </x:c>
      <x:c r="G237" s="11" t="n">
        <x:v>734</x:v>
      </x:c>
      <x:c r="H237" s="11" t="n">
        <x:v>705</x:v>
      </x:c>
      <x:c r="I237" s="16" t="b">
        <x:v>1</x:v>
      </x:c>
      <x:c r="J237" s="11" t="str">
        <x:v>Refacción</x:v>
      </x:c>
      <x:c r="K237" s="11" t="n">
        <x:v>120</x:v>
      </x:c>
    </x:row>
    <x:row r="238">
      <x:c r="A238" s="11" t="n">
        <x:v>237</x:v>
      </x:c>
      <x:c r="B238" s="11" t="str">
        <x:v>PO-10237</x:v>
      </x:c>
      <x:c r="C238" s="11" t="str">
        <x:v>S004</x:v>
      </x:c>
      <x:c r="D238" s="11" t="str">
        <x:v>Proveedor Valle</x:v>
      </x:c>
      <x:c r="E238" s="11" t="str">
        <x:v>2026-09-11</x:v>
      </x:c>
      <x:c r="F238" s="11" t="str">
        <x:v>2026-09-11</x:v>
      </x:c>
      <x:c r="G238" s="11" t="n">
        <x:v>371</x:v>
      </x:c>
      <x:c r="H238" s="11" t="n">
        <x:v>358</x:v>
      </x:c>
      <x:c r="I238" s="16" t="b">
        <x:v>1</x:v>
      </x:c>
      <x:c r="J238" s="11" t="str">
        <x:v>Consumible</x:v>
      </x:c>
      <x:c r="K238" s="11" t="n">
        <x:v>105</x:v>
      </x:c>
    </x:row>
    <x:row r="239">
      <x:c r="A239" s="11" t="n">
        <x:v>238</x:v>
      </x:c>
      <x:c r="B239" s="11" t="str">
        <x:v>PO-10238</x:v>
      </x:c>
      <x:c r="C239" s="11" t="str">
        <x:v>S004</x:v>
      </x:c>
      <x:c r="D239" s="11" t="str">
        <x:v>Proveedor Valle</x:v>
      </x:c>
      <x:c r="E239" s="11" t="str">
        <x:v>2026-09-11</x:v>
      </x:c>
      <x:c r="F239" s="11" t="str">
        <x:v>2026-09-11</x:v>
      </x:c>
      <x:c r="G239" s="11" t="n">
        <x:v>405</x:v>
      </x:c>
      <x:c r="H239" s="11" t="n">
        <x:v>360</x:v>
      </x:c>
      <x:c r="I239" s="16" t="b">
        <x:v>1</x:v>
      </x:c>
      <x:c r="J239" s="11" t="str">
        <x:v>Refacción</x:v>
      </x:c>
      <x:c r="K239" s="11" t="n">
        <x:v>31</x:v>
      </x:c>
    </x:row>
    <x:row r="240">
      <x:c r="A240" s="11" t="n">
        <x:v>239</x:v>
      </x:c>
      <x:c r="B240" s="11" t="str">
        <x:v>PO-10239</x:v>
      </x:c>
      <x:c r="C240" s="11" t="str">
        <x:v>S004</x:v>
      </x:c>
      <x:c r="D240" s="11" t="str">
        <x:v>Proveedor Valle</x:v>
      </x:c>
      <x:c r="E240" s="11" t="str">
        <x:v>2026-09-11</x:v>
      </x:c>
      <x:c r="F240" s="11" t="str">
        <x:v>2026-09-11</x:v>
      </x:c>
      <x:c r="G240" s="11" t="n">
        <x:v>893</x:v>
      </x:c>
      <x:c r="H240" s="11" t="n">
        <x:v>863</x:v>
      </x:c>
      <x:c r="I240" s="16" t="b">
        <x:v>1</x:v>
      </x:c>
      <x:c r="J240" s="11" t="str">
        <x:v>Consumible</x:v>
      </x:c>
      <x:c r="K240" s="11" t="n">
        <x:v>114</x:v>
      </x:c>
    </x:row>
    <x:row r="241">
      <x:c r="A241" s="11" t="n">
        <x:v>240</x:v>
      </x:c>
      <x:c r="B241" s="11" t="str">
        <x:v>PO-10240</x:v>
      </x:c>
      <x:c r="C241" s="11" t="str">
        <x:v>S003</x:v>
      </x:c>
      <x:c r="D241" s="11" t="str">
        <x:v>Proveedor Bajío</x:v>
      </x:c>
      <x:c r="E241" s="11" t="str">
        <x:v>2026-09-11</x:v>
      </x:c>
      <x:c r="F241" s="11" t="str">
        <x:v>2026-09-11</x:v>
      </x:c>
      <x:c r="G241" s="11" t="n">
        <x:v>281</x:v>
      </x:c>
      <x:c r="H241" s="11" t="n">
        <x:v>281</x:v>
      </x:c>
      <x:c r="I241" s="16" t="b">
        <x:v>1</x:v>
      </x:c>
      <x:c r="J241" s="11" t="str">
        <x:v>Materia prima</x:v>
      </x:c>
      <x:c r="K241" s="11" t="n">
        <x:v>93</x:v>
      </x:c>
    </x:row>
    <x:row r="242">
      <x:c r="A242" s="11" t="n">
        <x:v>241</x:v>
      </x:c>
      <x:c r="B242" s="11" t="str">
        <x:v>PO-10241</x:v>
      </x:c>
      <x:c r="C242" s="11" t="str">
        <x:v>S003</x:v>
      </x:c>
      <x:c r="D242" s="11" t="str">
        <x:v>Proveedor Bajío</x:v>
      </x:c>
      <x:c r="E242" s="11" t="str">
        <x:v>2026-09-11</x:v>
      </x:c>
      <x:c r="F242" s="11" t="str">
        <x:v>2026-09-16</x:v>
      </x:c>
      <x:c r="G242" s="11" t="n">
        <x:v>353</x:v>
      </x:c>
      <x:c r="H242" s="11" t="n">
        <x:v>333</x:v>
      </x:c>
      <x:c r="I242" s="16" t="b">
        <x:v>0</x:v>
      </x:c>
      <x:c r="J242" s="11" t="str">
        <x:v>Materia prima</x:v>
      </x:c>
      <x:c r="K242" s="11" t="n">
        <x:v>92</x:v>
      </x:c>
    </x:row>
    <x:row r="243">
      <x:c r="A243" s="11" t="n">
        <x:v>242</x:v>
      </x:c>
      <x:c r="B243" s="11" t="str">
        <x:v>PO-10242</x:v>
      </x:c>
      <x:c r="C243" s="11" t="str">
        <x:v>S004</x:v>
      </x:c>
      <x:c r="D243" s="11" t="str">
        <x:v>Proveedor Valle</x:v>
      </x:c>
      <x:c r="E243" s="11" t="str">
        <x:v>2026-09-12</x:v>
      </x:c>
      <x:c r="F243" s="11" t="str">
        <x:v>2026-09-12</x:v>
      </x:c>
      <x:c r="G243" s="11" t="n">
        <x:v>1129</x:v>
      </x:c>
      <x:c r="H243" s="11" t="n">
        <x:v>1061</x:v>
      </x:c>
      <x:c r="I243" s="16" t="b">
        <x:v>1</x:v>
      </x:c>
      <x:c r="J243" s="11" t="str">
        <x:v>Materia prima</x:v>
      </x:c>
      <x:c r="K243" s="11" t="n">
        <x:v>104</x:v>
      </x:c>
    </x:row>
    <x:row r="244">
      <x:c r="A244" s="11" t="n">
        <x:v>243</x:v>
      </x:c>
      <x:c r="B244" s="11" t="str">
        <x:v>PO-10243</x:v>
      </x:c>
      <x:c r="C244" s="11" t="str">
        <x:v>S002</x:v>
      </x:c>
      <x:c r="D244" s="11" t="str">
        <x:v>Proveedor Centro</x:v>
      </x:c>
      <x:c r="E244" s="11" t="str">
        <x:v>2026-09-12</x:v>
      </x:c>
      <x:c r="F244" s="11" t="str">
        <x:v>2026-09-12</x:v>
      </x:c>
      <x:c r="G244" s="11" t="n">
        <x:v>138</x:v>
      </x:c>
      <x:c r="H244" s="11" t="n">
        <x:v>131</x:v>
      </x:c>
      <x:c r="I244" s="16" t="b">
        <x:v>1</x:v>
      </x:c>
      <x:c r="J244" s="11" t="str">
        <x:v>Consumible</x:v>
      </x:c>
      <x:c r="K244" s="11" t="n">
        <x:v>30</x:v>
      </x:c>
    </x:row>
    <x:row r="245">
      <x:c r="A245" s="11" t="n">
        <x:v>244</x:v>
      </x:c>
      <x:c r="B245" s="11" t="str">
        <x:v>PO-10244</x:v>
      </x:c>
      <x:c r="C245" s="11" t="str">
        <x:v>S003</x:v>
      </x:c>
      <x:c r="D245" s="11" t="str">
        <x:v>Proveedor Bajío</x:v>
      </x:c>
      <x:c r="E245" s="11" t="str">
        <x:v>2026-09-12</x:v>
      </x:c>
      <x:c r="F245" s="11" t="str">
        <x:v>2026-09-12</x:v>
      </x:c>
      <x:c r="G245" s="11" t="n">
        <x:v>922</x:v>
      </x:c>
      <x:c r="H245" s="11" t="n">
        <x:v>922</x:v>
      </x:c>
      <x:c r="I245" s="16" t="b">
        <x:v>1</x:v>
      </x:c>
      <x:c r="J245" s="11" t="str">
        <x:v>Consumible</x:v>
      </x:c>
      <x:c r="K245" s="11" t="n">
        <x:v>22</x:v>
      </x:c>
    </x:row>
    <x:row r="246">
      <x:c r="A246" s="11" t="n">
        <x:v>245</x:v>
      </x:c>
      <x:c r="B246" s="11" t="str">
        <x:v>PO-10245</x:v>
      </x:c>
      <x:c r="C246" s="11" t="str">
        <x:v>S004</x:v>
      </x:c>
      <x:c r="D246" s="11" t="str">
        <x:v>Proveedor Valle</x:v>
      </x:c>
      <x:c r="E246" s="11" t="str">
        <x:v>2026-09-14</x:v>
      </x:c>
      <x:c r="F246" s="11" t="str">
        <x:v>2026-09-14</x:v>
      </x:c>
      <x:c r="G246" s="11" t="n">
        <x:v>469</x:v>
      </x:c>
      <x:c r="H246" s="11" t="n">
        <x:v>402</x:v>
      </x:c>
      <x:c r="I246" s="16" t="b">
        <x:v>1</x:v>
      </x:c>
      <x:c r="J246" s="11" t="str">
        <x:v>Refacción</x:v>
      </x:c>
      <x:c r="K246" s="11" t="n">
        <x:v>31</x:v>
      </x:c>
    </x:row>
    <x:row r="247">
      <x:c r="A247" s="11" t="n">
        <x:v>246</x:v>
      </x:c>
      <x:c r="B247" s="11" t="str">
        <x:v>PO-10246</x:v>
      </x:c>
      <x:c r="C247" s="11" t="str">
        <x:v>S001</x:v>
      </x:c>
      <x:c r="D247" s="11" t="str">
        <x:v>Proveedor Norte</x:v>
      </x:c>
      <x:c r="E247" s="11" t="str">
        <x:v>2026-09-14</x:v>
      </x:c>
      <x:c r="F247" s="11" t="str">
        <x:v>2026-09-14</x:v>
      </x:c>
      <x:c r="G247" s="11" t="n">
        <x:v>303</x:v>
      </x:c>
      <x:c r="H247" s="11" t="n">
        <x:v>303</x:v>
      </x:c>
      <x:c r="I247" s="16" t="b">
        <x:v>1</x:v>
      </x:c>
      <x:c r="J247" s="11" t="str">
        <x:v>Refacción</x:v>
      </x:c>
      <x:c r="K247" s="11" t="n">
        <x:v>38</x:v>
      </x:c>
    </x:row>
    <x:row r="248">
      <x:c r="A248" s="11" t="n">
        <x:v>247</x:v>
      </x:c>
      <x:c r="B248" s="11" t="str">
        <x:v>PO-10247</x:v>
      </x:c>
      <x:c r="C248" s="11" t="str">
        <x:v>S002</x:v>
      </x:c>
      <x:c r="D248" s="11" t="str">
        <x:v>Proveedor Centro</x:v>
      </x:c>
      <x:c r="E248" s="11" t="str">
        <x:v>2026-09-14</x:v>
      </x:c>
      <x:c r="F248" s="11" t="str">
        <x:v>2026-09-16</x:v>
      </x:c>
      <x:c r="G248" s="11" t="n">
        <x:v>623</x:v>
      </x:c>
      <x:c r="H248" s="11" t="n">
        <x:v>600</x:v>
      </x:c>
      <x:c r="I248" s="16" t="b">
        <x:v>0</x:v>
      </x:c>
      <x:c r="J248" s="11" t="str">
        <x:v>Materia prima</x:v>
      </x:c>
      <x:c r="K248" s="11" t="n">
        <x:v>98</x:v>
      </x:c>
    </x:row>
    <x:row r="249">
      <x:c r="A249" s="11" t="n">
        <x:v>248</x:v>
      </x:c>
      <x:c r="B249" s="11" t="str">
        <x:v>PO-10248</x:v>
      </x:c>
      <x:c r="C249" s="11" t="str">
        <x:v>S003</x:v>
      </x:c>
      <x:c r="D249" s="11" t="str">
        <x:v>Proveedor Bajío</x:v>
      </x:c>
      <x:c r="E249" s="11" t="str">
        <x:v>2026-09-14</x:v>
      </x:c>
      <x:c r="F249" s="11" t="str">
        <x:v>2026-09-14</x:v>
      </x:c>
      <x:c r="G249" s="11" t="n">
        <x:v>471</x:v>
      </x:c>
      <x:c r="H249" s="11" t="n">
        <x:v>435</x:v>
      </x:c>
      <x:c r="I249" s="16" t="b">
        <x:v>1</x:v>
      </x:c>
      <x:c r="J249" s="11" t="str">
        <x:v>Materia prima</x:v>
      </x:c>
      <x:c r="K249" s="11" t="n">
        <x:v>58</x:v>
      </x:c>
    </x:row>
    <x:row r="250">
      <x:c r="A250" s="11" t="n">
        <x:v>249</x:v>
      </x:c>
      <x:c r="B250" s="11" t="str">
        <x:v>PO-10249</x:v>
      </x:c>
      <x:c r="C250" s="11" t="str">
        <x:v>S001</x:v>
      </x:c>
      <x:c r="D250" s="11" t="str">
        <x:v>Proveedor Norte</x:v>
      </x:c>
      <x:c r="E250" s="11" t="str">
        <x:v>2026-09-15</x:v>
      </x:c>
      <x:c r="F250" s="11" t="str">
        <x:v>2026-09-15</x:v>
      </x:c>
      <x:c r="G250" s="11" t="n">
        <x:v>755</x:v>
      </x:c>
      <x:c r="H250" s="11" t="n">
        <x:v>755</x:v>
      </x:c>
      <x:c r="I250" s="16" t="b">
        <x:v>1</x:v>
      </x:c>
      <x:c r="J250" s="11" t="str">
        <x:v>Materia prima</x:v>
      </x:c>
      <x:c r="K250" s="11" t="n">
        <x:v>26</x:v>
      </x:c>
    </x:row>
    <x:row r="251">
      <x:c r="A251" s="11" t="n">
        <x:v>250</x:v>
      </x:c>
      <x:c r="B251" s="11" t="str">
        <x:v>PO-10250</x:v>
      </x:c>
      <x:c r="C251" s="11" t="str">
        <x:v>S002</x:v>
      </x:c>
      <x:c r="D251" s="11" t="str">
        <x:v>Proveedor Centro</x:v>
      </x:c>
      <x:c r="E251" s="11" t="str">
        <x:v>2026-09-15</x:v>
      </x:c>
      <x:c r="F251" s="11" t="str">
        <x:v>2026-09-15</x:v>
      </x:c>
      <x:c r="G251" s="11" t="n">
        <x:v>590</x:v>
      </x:c>
      <x:c r="H251" s="11" t="n">
        <x:v>590</x:v>
      </x:c>
      <x:c r="I251" s="16" t="b">
        <x:v>1</x:v>
      </x:c>
      <x:c r="J251" s="11" t="str">
        <x:v>Empaque</x:v>
      </x:c>
      <x:c r="K251" s="11" t="n">
        <x:v>83</x:v>
      </x:c>
    </x:row>
    <x:row r="252">
      <x:c r="A252" s="11" t="n">
        <x:v>251</x:v>
      </x:c>
      <x:c r="B252" s="11" t="str">
        <x:v>PO-10251</x:v>
      </x:c>
      <x:c r="C252" s="11" t="str">
        <x:v>S004</x:v>
      </x:c>
      <x:c r="D252" s="11" t="str">
        <x:v>Proveedor Valle</x:v>
      </x:c>
      <x:c r="E252" s="11" t="str">
        <x:v>2026-09-15</x:v>
      </x:c>
      <x:c r="F252" s="11" t="str">
        <x:v>2026-09-15</x:v>
      </x:c>
      <x:c r="G252" s="11" t="n">
        <x:v>335</x:v>
      </x:c>
      <x:c r="H252" s="11" t="n">
        <x:v>319</x:v>
      </x:c>
      <x:c r="I252" s="16" t="b">
        <x:v>1</x:v>
      </x:c>
      <x:c r="J252" s="11" t="str">
        <x:v>Materia prima</x:v>
      </x:c>
      <x:c r="K252" s="11" t="n">
        <x:v>81</x:v>
      </x:c>
    </x:row>
    <x:row r="253">
      <x:c r="A253" s="11" t="n">
        <x:v>252</x:v>
      </x:c>
      <x:c r="B253" s="11" t="str">
        <x:v>PO-10252</x:v>
      </x:c>
      <x:c r="C253" s="11" t="str">
        <x:v>S001</x:v>
      </x:c>
      <x:c r="D253" s="11" t="str">
        <x:v>Proveedor Norte</x:v>
      </x:c>
      <x:c r="E253" s="11" t="str">
        <x:v>2026-09-15</x:v>
      </x:c>
      <x:c r="F253" s="11" t="str">
        <x:v>2026-09-15</x:v>
      </x:c>
      <x:c r="G253" s="11" t="n">
        <x:v>934</x:v>
      </x:c>
      <x:c r="H253" s="11" t="n">
        <x:v>934</x:v>
      </x:c>
      <x:c r="I253" s="16" t="b">
        <x:v>1</x:v>
      </x:c>
      <x:c r="J253" s="11" t="str">
        <x:v>Materia prima</x:v>
      </x:c>
      <x:c r="K253" s="11" t="n">
        <x:v>54</x:v>
      </x:c>
    </x:row>
    <x:row r="254">
      <x:c r="A254" s="11" t="n">
        <x:v>253</x:v>
      </x:c>
      <x:c r="B254" s="11" t="str">
        <x:v>PO-10253</x:v>
      </x:c>
      <x:c r="C254" s="11" t="str">
        <x:v>S001</x:v>
      </x:c>
      <x:c r="D254" s="11" t="str">
        <x:v>Proveedor Norte</x:v>
      </x:c>
      <x:c r="E254" s="11" t="str">
        <x:v>2026-09-15</x:v>
      </x:c>
      <x:c r="F254" s="11" t="str">
        <x:v>2026-09-15</x:v>
      </x:c>
      <x:c r="G254" s="11" t="n">
        <x:v>604</x:v>
      </x:c>
      <x:c r="H254" s="11" t="n">
        <x:v>584</x:v>
      </x:c>
      <x:c r="I254" s="16" t="b">
        <x:v>1</x:v>
      </x:c>
      <x:c r="J254" s="11" t="str">
        <x:v>Consumible</x:v>
      </x:c>
      <x:c r="K254" s="11" t="n">
        <x:v>77</x:v>
      </x:c>
    </x:row>
    <x:row r="255">
      <x:c r="A255" s="11" t="n">
        <x:v>254</x:v>
      </x:c>
      <x:c r="B255" s="11" t="str">
        <x:v>PO-10254</x:v>
      </x:c>
      <x:c r="C255" s="11" t="str">
        <x:v>S002</x:v>
      </x:c>
      <x:c r="D255" s="11" t="str">
        <x:v>Proveedor Centro</x:v>
      </x:c>
      <x:c r="E255" s="11" t="str">
        <x:v>2026-09-16</x:v>
      </x:c>
      <x:c r="F255" s="11" t="str">
        <x:v>2026-09-16</x:v>
      </x:c>
      <x:c r="G255" s="11" t="n">
        <x:v>391</x:v>
      </x:c>
      <x:c r="H255" s="11" t="n">
        <x:v>341</x:v>
      </x:c>
      <x:c r="I255" s="16" t="b">
        <x:v>1</x:v>
      </x:c>
      <x:c r="J255" s="11" t="str">
        <x:v>Empaque</x:v>
      </x:c>
      <x:c r="K255" s="11" t="n">
        <x:v>120</x:v>
      </x:c>
    </x:row>
    <x:row r="256">
      <x:c r="A256" s="11" t="n">
        <x:v>255</x:v>
      </x:c>
      <x:c r="B256" s="11" t="str">
        <x:v>PO-10255</x:v>
      </x:c>
      <x:c r="C256" s="11" t="str">
        <x:v>S002</x:v>
      </x:c>
      <x:c r="D256" s="11" t="str">
        <x:v>Proveedor Centro</x:v>
      </x:c>
      <x:c r="E256" s="11" t="str">
        <x:v>2026-09-16</x:v>
      </x:c>
      <x:c r="F256" s="11" t="str">
        <x:v>2026-09-16</x:v>
      </x:c>
      <x:c r="G256" s="11" t="n">
        <x:v>1200</x:v>
      </x:c>
      <x:c r="H256" s="11" t="n">
        <x:v>1200</x:v>
      </x:c>
      <x:c r="I256" s="16" t="b">
        <x:v>1</x:v>
      </x:c>
      <x:c r="J256" s="11" t="str">
        <x:v>Materia prima</x:v>
      </x:c>
      <x:c r="K256" s="11" t="n">
        <x:v>20</x:v>
      </x:c>
    </x:row>
    <x:row r="257">
      <x:c r="A257" s="11" t="n">
        <x:v>256</x:v>
      </x:c>
      <x:c r="B257" s="11" t="str">
        <x:v>PO-10256</x:v>
      </x:c>
      <x:c r="C257" s="11" t="str">
        <x:v>S003</x:v>
      </x:c>
      <x:c r="D257" s="11" t="str">
        <x:v>Proveedor Bajío</x:v>
      </x:c>
      <x:c r="E257" s="11" t="str">
        <x:v>2026-09-17</x:v>
      </x:c>
      <x:c r="F257" s="11" t="str">
        <x:v>2026-09-17</x:v>
      </x:c>
      <x:c r="G257" s="11" t="n">
        <x:v>442</x:v>
      </x:c>
      <x:c r="H257" s="11" t="n">
        <x:v>404</x:v>
      </x:c>
      <x:c r="I257" s="16" t="b">
        <x:v>1</x:v>
      </x:c>
      <x:c r="J257" s="11" t="str">
        <x:v>Consumible</x:v>
      </x:c>
      <x:c r="K257" s="11" t="n">
        <x:v>54</x:v>
      </x:c>
    </x:row>
    <x:row r="258">
      <x:c r="A258" s="11" t="n">
        <x:v>257</x:v>
      </x:c>
      <x:c r="B258" s="11" t="str">
        <x:v>PO-10257</x:v>
      </x:c>
      <x:c r="C258" s="11" t="str">
        <x:v>S003</x:v>
      </x:c>
      <x:c r="D258" s="11" t="str">
        <x:v>Proveedor Bajío</x:v>
      </x:c>
      <x:c r="E258" s="11" t="str">
        <x:v>2026-09-17</x:v>
      </x:c>
      <x:c r="F258" s="11" t="str">
        <x:v>2026-09-17</x:v>
      </x:c>
      <x:c r="G258" s="11" t="n">
        <x:v>878</x:v>
      </x:c>
      <x:c r="H258" s="11" t="n">
        <x:v>878</x:v>
      </x:c>
      <x:c r="I258" s="16" t="b">
        <x:v>1</x:v>
      </x:c>
      <x:c r="J258" s="11" t="str">
        <x:v>Refacción</x:v>
      </x:c>
      <x:c r="K258" s="11" t="n">
        <x:v>25</x:v>
      </x:c>
    </x:row>
    <x:row r="259">
      <x:c r="A259" s="11" t="n">
        <x:v>258</x:v>
      </x:c>
      <x:c r="B259" s="11" t="str">
        <x:v>PO-10258</x:v>
      </x:c>
      <x:c r="C259" s="11" t="str">
        <x:v>S002</x:v>
      </x:c>
      <x:c r="D259" s="11" t="str">
        <x:v>Proveedor Centro</x:v>
      </x:c>
      <x:c r="E259" s="11" t="str">
        <x:v>2026-09-17</x:v>
      </x:c>
      <x:c r="F259" s="11" t="str">
        <x:v>2026-09-17</x:v>
      </x:c>
      <x:c r="G259" s="11" t="n">
        <x:v>1193</x:v>
      </x:c>
      <x:c r="H259" s="11" t="n">
        <x:v>1144</x:v>
      </x:c>
      <x:c r="I259" s="16" t="b">
        <x:v>1</x:v>
      </x:c>
      <x:c r="J259" s="11" t="str">
        <x:v>Refacción</x:v>
      </x:c>
      <x:c r="K259" s="11" t="n">
        <x:v>31</x:v>
      </x:c>
    </x:row>
    <x:row r="260">
      <x:c r="A260" s="11" t="n">
        <x:v>259</x:v>
      </x:c>
      <x:c r="B260" s="11" t="str">
        <x:v>PO-10259</x:v>
      </x:c>
      <x:c r="C260" s="11" t="str">
        <x:v>S004</x:v>
      </x:c>
      <x:c r="D260" s="11" t="str">
        <x:v>Proveedor Valle</x:v>
      </x:c>
      <x:c r="E260" s="11" t="str">
        <x:v>2026-09-17</x:v>
      </x:c>
      <x:c r="F260" s="11" t="str">
        <x:v>2026-09-21</x:v>
      </x:c>
      <x:c r="G260" s="11" t="n">
        <x:v>351</x:v>
      </x:c>
      <x:c r="H260" s="11" t="n">
        <x:v>351</x:v>
      </x:c>
      <x:c r="I260" s="16" t="b">
        <x:v>0</x:v>
      </x:c>
      <x:c r="J260" s="11" t="str">
        <x:v>Empaque</x:v>
      </x:c>
      <x:c r="K260" s="11" t="n">
        <x:v>98</x:v>
      </x:c>
    </x:row>
    <x:row r="261">
      <x:c r="A261" s="11" t="n">
        <x:v>260</x:v>
      </x:c>
      <x:c r="B261" s="11" t="str">
        <x:v>PO-10260</x:v>
      </x:c>
      <x:c r="C261" s="11" t="str">
        <x:v>S003</x:v>
      </x:c>
      <x:c r="D261" s="11" t="str">
        <x:v>Proveedor Bajío</x:v>
      </x:c>
      <x:c r="E261" s="11" t="str">
        <x:v>2026-09-17</x:v>
      </x:c>
      <x:c r="F261" s="11" t="str">
        <x:v>2026-09-17</x:v>
      </x:c>
      <x:c r="G261" s="11" t="n">
        <x:v>801</x:v>
      </x:c>
      <x:c r="H261" s="11" t="n">
        <x:v>701</x:v>
      </x:c>
      <x:c r="I261" s="16" t="b">
        <x:v>1</x:v>
      </x:c>
      <x:c r="J261" s="11" t="str">
        <x:v>Consumible</x:v>
      </x:c>
      <x:c r="K261" s="11" t="n">
        <x:v>54</x:v>
      </x:c>
    </x:row>
    <x:row r="262">
      <x:c r="A262" s="11" t="n">
        <x:v>261</x:v>
      </x:c>
      <x:c r="B262" s="11" t="str">
        <x:v>PO-10261</x:v>
      </x:c>
      <x:c r="C262" s="11" t="str">
        <x:v>S003</x:v>
      </x:c>
      <x:c r="D262" s="11" t="str">
        <x:v>Proveedor Bajío</x:v>
      </x:c>
      <x:c r="E262" s="11" t="str">
        <x:v>2026-09-18</x:v>
      </x:c>
      <x:c r="F262" s="11" t="str">
        <x:v>2026-09-18</x:v>
      </x:c>
      <x:c r="G262" s="11" t="n">
        <x:v>799</x:v>
      </x:c>
      <x:c r="H262" s="11" t="n">
        <x:v>796</x:v>
      </x:c>
      <x:c r="I262" s="16" t="b">
        <x:v>1</x:v>
      </x:c>
      <x:c r="J262" s="11" t="str">
        <x:v>Empaque</x:v>
      </x:c>
      <x:c r="K262" s="11" t="n">
        <x:v>102</x:v>
      </x:c>
    </x:row>
    <x:row r="263">
      <x:c r="A263" s="11" t="n">
        <x:v>262</x:v>
      </x:c>
      <x:c r="B263" s="11" t="str">
        <x:v>PO-10262</x:v>
      </x:c>
      <x:c r="C263" s="11" t="str">
        <x:v>S001</x:v>
      </x:c>
      <x:c r="D263" s="11" t="str">
        <x:v>Proveedor Norte</x:v>
      </x:c>
      <x:c r="E263" s="11" t="str">
        <x:v>2026-09-18</x:v>
      </x:c>
      <x:c r="F263" s="11" t="str">
        <x:v>2026-09-18</x:v>
      </x:c>
      <x:c r="G263" s="11" t="n">
        <x:v>1075</x:v>
      </x:c>
      <x:c r="H263" s="11" t="n">
        <x:v>1075</x:v>
      </x:c>
      <x:c r="I263" s="16" t="b">
        <x:v>1</x:v>
      </x:c>
      <x:c r="J263" s="11" t="str">
        <x:v>Materia prima</x:v>
      </x:c>
      <x:c r="K263" s="11" t="n">
        <x:v>106</x:v>
      </x:c>
    </x:row>
    <x:row r="264">
      <x:c r="A264" s="11" t="n">
        <x:v>263</x:v>
      </x:c>
      <x:c r="B264" s="11" t="str">
        <x:v>PO-10263</x:v>
      </x:c>
      <x:c r="C264" s="11" t="str">
        <x:v>S002</x:v>
      </x:c>
      <x:c r="D264" s="11" t="str">
        <x:v>Proveedor Centro</x:v>
      </x:c>
      <x:c r="E264" s="11" t="str">
        <x:v>2026-09-18</x:v>
      </x:c>
      <x:c r="F264" s="11" t="str">
        <x:v>2026-09-18</x:v>
      </x:c>
      <x:c r="G264" s="11" t="n">
        <x:v>946</x:v>
      </x:c>
      <x:c r="H264" s="11" t="n">
        <x:v>825</x:v>
      </x:c>
      <x:c r="I264" s="16" t="b">
        <x:v>1</x:v>
      </x:c>
      <x:c r="J264" s="11" t="str">
        <x:v>Consumible</x:v>
      </x:c>
      <x:c r="K264" s="11" t="n">
        <x:v>88</x:v>
      </x:c>
    </x:row>
    <x:row r="265">
      <x:c r="A265" s="11" t="n">
        <x:v>264</x:v>
      </x:c>
      <x:c r="B265" s="11" t="str">
        <x:v>PO-10264</x:v>
      </x:c>
      <x:c r="C265" s="11" t="str">
        <x:v>S001</x:v>
      </x:c>
      <x:c r="D265" s="11" t="str">
        <x:v>Proveedor Norte</x:v>
      </x:c>
      <x:c r="E265" s="11" t="str">
        <x:v>2026-09-19</x:v>
      </x:c>
      <x:c r="F265" s="11" t="str">
        <x:v>2026-09-19</x:v>
      </x:c>
      <x:c r="G265" s="11" t="n">
        <x:v>163</x:v>
      </x:c>
      <x:c r="H265" s="11" t="n">
        <x:v>151</x:v>
      </x:c>
      <x:c r="I265" s="16" t="b">
        <x:v>1</x:v>
      </x:c>
      <x:c r="J265" s="11" t="str">
        <x:v>Consumible</x:v>
      </x:c>
      <x:c r="K265" s="11" t="n">
        <x:v>106</x:v>
      </x:c>
    </x:row>
    <x:row r="266">
      <x:c r="A266" s="11" t="n">
        <x:v>265</x:v>
      </x:c>
      <x:c r="B266" s="11" t="str">
        <x:v>PO-10265</x:v>
      </x:c>
      <x:c r="C266" s="11" t="str">
        <x:v>S001</x:v>
      </x:c>
      <x:c r="D266" s="11" t="str">
        <x:v>Proveedor Norte</x:v>
      </x:c>
      <x:c r="E266" s="11" t="str">
        <x:v>2026-09-19</x:v>
      </x:c>
      <x:c r="F266" s="11" t="str">
        <x:v>2026-09-19</x:v>
      </x:c>
      <x:c r="G266" s="11" t="n">
        <x:v>822</x:v>
      </x:c>
      <x:c r="H266" s="11" t="n">
        <x:v>822</x:v>
      </x:c>
      <x:c r="I266" s="16" t="b">
        <x:v>1</x:v>
      </x:c>
      <x:c r="J266" s="11" t="str">
        <x:v>Consumible</x:v>
      </x:c>
      <x:c r="K266" s="11" t="n">
        <x:v>42</x:v>
      </x:c>
    </x:row>
    <x:row r="267">
      <x:c r="A267" s="11" t="n">
        <x:v>266</x:v>
      </x:c>
      <x:c r="B267" s="11" t="str">
        <x:v>PO-10266</x:v>
      </x:c>
      <x:c r="C267" s="11" t="str">
        <x:v>S001</x:v>
      </x:c>
      <x:c r="D267" s="11" t="str">
        <x:v>Proveedor Norte</x:v>
      </x:c>
      <x:c r="E267" s="11" t="str">
        <x:v>2026-09-21</x:v>
      </x:c>
      <x:c r="F267" s="11" t="str">
        <x:v>2026-09-21</x:v>
      </x:c>
      <x:c r="G267" s="11" t="n">
        <x:v>1047</x:v>
      </x:c>
      <x:c r="H267" s="11" t="n">
        <x:v>994</x:v>
      </x:c>
      <x:c r="I267" s="16" t="b">
        <x:v>1</x:v>
      </x:c>
      <x:c r="J267" s="11" t="str">
        <x:v>Empaque</x:v>
      </x:c>
      <x:c r="K267" s="11" t="n">
        <x:v>76</x:v>
      </x:c>
    </x:row>
    <x:row r="268">
      <x:c r="A268" s="11" t="n">
        <x:v>267</x:v>
      </x:c>
      <x:c r="B268" s="11" t="str">
        <x:v>PO-10267</x:v>
      </x:c>
      <x:c r="C268" s="11" t="str">
        <x:v>S001</x:v>
      </x:c>
      <x:c r="D268" s="11" t="str">
        <x:v>Proveedor Norte</x:v>
      </x:c>
      <x:c r="E268" s="11" t="str">
        <x:v>2026-09-21</x:v>
      </x:c>
      <x:c r="F268" s="11" t="str">
        <x:v>2026-09-21</x:v>
      </x:c>
      <x:c r="G268" s="11" t="n">
        <x:v>553</x:v>
      </x:c>
      <x:c r="H268" s="11" t="n">
        <x:v>528</x:v>
      </x:c>
      <x:c r="I268" s="16" t="b">
        <x:v>1</x:v>
      </x:c>
      <x:c r="J268" s="11" t="str">
        <x:v>Refacción</x:v>
      </x:c>
      <x:c r="K268" s="11" t="n">
        <x:v>44</x:v>
      </x:c>
    </x:row>
    <x:row r="269">
      <x:c r="A269" s="11" t="n">
        <x:v>268</x:v>
      </x:c>
      <x:c r="B269" s="11" t="str">
        <x:v>PO-10268</x:v>
      </x:c>
      <x:c r="C269" s="11" t="str">
        <x:v>S003</x:v>
      </x:c>
      <x:c r="D269" s="11" t="str">
        <x:v>Proveedor Bajío</x:v>
      </x:c>
      <x:c r="E269" s="11" t="str">
        <x:v>2026-09-22</x:v>
      </x:c>
      <x:c r="F269" s="11" t="str">
        <x:v>2026-09-22</x:v>
      </x:c>
      <x:c r="G269" s="11" t="n">
        <x:v>552</x:v>
      </x:c>
      <x:c r="H269" s="11" t="n">
        <x:v>474</x:v>
      </x:c>
      <x:c r="I269" s="16" t="b">
        <x:v>1</x:v>
      </x:c>
      <x:c r="J269" s="11" t="str">
        <x:v>Consumible</x:v>
      </x:c>
      <x:c r="K269" s="11" t="n">
        <x:v>66</x:v>
      </x:c>
    </x:row>
    <x:row r="270">
      <x:c r="A270" s="11" t="n">
        <x:v>269</x:v>
      </x:c>
      <x:c r="B270" s="11" t="str">
        <x:v>PO-10269</x:v>
      </x:c>
      <x:c r="C270" s="11" t="str">
        <x:v>S001</x:v>
      </x:c>
      <x:c r="D270" s="11" t="str">
        <x:v>Proveedor Norte</x:v>
      </x:c>
      <x:c r="E270" s="11" t="str">
        <x:v>2026-09-22</x:v>
      </x:c>
      <x:c r="F270" s="11" t="str">
        <x:v>2026-09-22</x:v>
      </x:c>
      <x:c r="G270" s="11" t="n">
        <x:v>674</x:v>
      </x:c>
      <x:c r="H270" s="11" t="n">
        <x:v>583</x:v>
      </x:c>
      <x:c r="I270" s="16" t="b">
        <x:v>1</x:v>
      </x:c>
      <x:c r="J270" s="11" t="str">
        <x:v>Materia prima</x:v>
      </x:c>
      <x:c r="K270" s="11" t="n">
        <x:v>45</x:v>
      </x:c>
    </x:row>
    <x:row r="271">
      <x:c r="A271" s="11" t="n">
        <x:v>270</x:v>
      </x:c>
      <x:c r="B271" s="11" t="str">
        <x:v>PO-10270</x:v>
      </x:c>
      <x:c r="C271" s="11" t="str">
        <x:v>S001</x:v>
      </x:c>
      <x:c r="D271" s="11" t="str">
        <x:v>Proveedor Norte</x:v>
      </x:c>
      <x:c r="E271" s="11" t="str">
        <x:v>2026-09-23</x:v>
      </x:c>
      <x:c r="F271" s="11" t="str">
        <x:v>2026-09-23</x:v>
      </x:c>
      <x:c r="G271" s="11" t="n">
        <x:v>668</x:v>
      </x:c>
      <x:c r="H271" s="11" t="n">
        <x:v>644</x:v>
      </x:c>
      <x:c r="I271" s="16" t="b">
        <x:v>1</x:v>
      </x:c>
      <x:c r="J271" s="11" t="str">
        <x:v>Consumible</x:v>
      </x:c>
      <x:c r="K271" s="11" t="n">
        <x:v>41</x:v>
      </x:c>
    </x:row>
    <x:row r="272">
      <x:c r="A272" s="11" t="n">
        <x:v>271</x:v>
      </x:c>
      <x:c r="B272" s="11" t="str">
        <x:v>PO-10271</x:v>
      </x:c>
      <x:c r="C272" s="11" t="str">
        <x:v>S002</x:v>
      </x:c>
      <x:c r="D272" s="11" t="str">
        <x:v>Proveedor Centro</x:v>
      </x:c>
      <x:c r="E272" s="11" t="str">
        <x:v>2026-09-23</x:v>
      </x:c>
      <x:c r="F272" s="11" t="str">
        <x:v>2026-09-23</x:v>
      </x:c>
      <x:c r="G272" s="11" t="n">
        <x:v>459</x:v>
      </x:c>
      <x:c r="H272" s="11" t="n">
        <x:v>453</x:v>
      </x:c>
      <x:c r="I272" s="16" t="b">
        <x:v>1</x:v>
      </x:c>
      <x:c r="J272" s="11" t="str">
        <x:v>Refacción</x:v>
      </x:c>
      <x:c r="K272" s="11" t="n">
        <x:v>92</x:v>
      </x:c>
    </x:row>
    <x:row r="273">
      <x:c r="A273" s="11" t="n">
        <x:v>272</x:v>
      </x:c>
      <x:c r="B273" s="11" t="str">
        <x:v>PO-10272</x:v>
      </x:c>
      <x:c r="C273" s="11" t="str">
        <x:v>S002</x:v>
      </x:c>
      <x:c r="D273" s="11" t="str">
        <x:v>Proveedor Centro</x:v>
      </x:c>
      <x:c r="E273" s="11" t="str">
        <x:v>2026-09-23</x:v>
      </x:c>
      <x:c r="F273" s="11" t="str">
        <x:v>2026-09-23</x:v>
      </x:c>
      <x:c r="G273" s="11" t="n">
        <x:v>1171</x:v>
      </x:c>
      <x:c r="H273" s="11" t="n">
        <x:v>1138</x:v>
      </x:c>
      <x:c r="I273" s="16" t="b">
        <x:v>1</x:v>
      </x:c>
      <x:c r="J273" s="11" t="str">
        <x:v>Refacción</x:v>
      </x:c>
      <x:c r="K273" s="11" t="n">
        <x:v>44</x:v>
      </x:c>
    </x:row>
    <x:row r="274">
      <x:c r="A274" s="11" t="n">
        <x:v>273</x:v>
      </x:c>
      <x:c r="B274" s="11" t="str">
        <x:v>PO-10273</x:v>
      </x:c>
      <x:c r="C274" s="11" t="str">
        <x:v>S001</x:v>
      </x:c>
      <x:c r="D274" s="11" t="str">
        <x:v>Proveedor Norte</x:v>
      </x:c>
      <x:c r="E274" s="11" t="str">
        <x:v>2026-09-23</x:v>
      </x:c>
      <x:c r="F274" s="11" t="str">
        <x:v>2026-09-23</x:v>
      </x:c>
      <x:c r="G274" s="11" t="n">
        <x:v>1191</x:v>
      </x:c>
      <x:c r="H274" s="11" t="n">
        <x:v>1062</x:v>
      </x:c>
      <x:c r="I274" s="16" t="b">
        <x:v>1</x:v>
      </x:c>
      <x:c r="J274" s="11" t="str">
        <x:v>Materia prima</x:v>
      </x:c>
      <x:c r="K274" s="11" t="n">
        <x:v>74</x:v>
      </x:c>
    </x:row>
    <x:row r="275">
      <x:c r="A275" s="11" t="n">
        <x:v>274</x:v>
      </x:c>
      <x:c r="B275" s="11" t="str">
        <x:v>PO-10274</x:v>
      </x:c>
      <x:c r="C275" s="11" t="str">
        <x:v>S001</x:v>
      </x:c>
      <x:c r="D275" s="11" t="str">
        <x:v>Proveedor Norte</x:v>
      </x:c>
      <x:c r="E275" s="11" t="str">
        <x:v>2026-09-23</x:v>
      </x:c>
      <x:c r="F275" s="11" t="str">
        <x:v>2026-09-23</x:v>
      </x:c>
      <x:c r="G275" s="11" t="n">
        <x:v>761</x:v>
      </x:c>
      <x:c r="H275" s="11" t="n">
        <x:v>685</x:v>
      </x:c>
      <x:c r="I275" s="16" t="b">
        <x:v>1</x:v>
      </x:c>
      <x:c r="J275" s="11" t="str">
        <x:v>Consumible</x:v>
      </x:c>
      <x:c r="K275" s="11" t="n">
        <x:v>55</x:v>
      </x:c>
    </x:row>
    <x:row r="276">
      <x:c r="A276" s="11" t="n">
        <x:v>275</x:v>
      </x:c>
      <x:c r="B276" s="11" t="str">
        <x:v>PO-10275</x:v>
      </x:c>
      <x:c r="C276" s="11" t="str">
        <x:v>S004</x:v>
      </x:c>
      <x:c r="D276" s="11" t="str">
        <x:v>Proveedor Valle</x:v>
      </x:c>
      <x:c r="E276" s="11" t="str">
        <x:v>2026-09-24</x:v>
      </x:c>
      <x:c r="F276" s="11" t="str">
        <x:v>2026-09-24</x:v>
      </x:c>
      <x:c r="G276" s="11" t="n">
        <x:v>1114</x:v>
      </x:c>
      <x:c r="H276" s="11" t="n">
        <x:v>996</x:v>
      </x:c>
      <x:c r="I276" s="16" t="b">
        <x:v>1</x:v>
      </x:c>
      <x:c r="J276" s="11" t="str">
        <x:v>Empaque</x:v>
      </x:c>
      <x:c r="K276" s="11" t="n">
        <x:v>26</x:v>
      </x:c>
    </x:row>
    <x:row r="277">
      <x:c r="A277" s="11" t="n">
        <x:v>276</x:v>
      </x:c>
      <x:c r="B277" s="11" t="str">
        <x:v>PO-10276</x:v>
      </x:c>
      <x:c r="C277" s="11" t="str">
        <x:v>S003</x:v>
      </x:c>
      <x:c r="D277" s="11" t="str">
        <x:v>Proveedor Bajío</x:v>
      </x:c>
      <x:c r="E277" s="11" t="str">
        <x:v>2026-09-24</x:v>
      </x:c>
      <x:c r="F277" s="11" t="str">
        <x:v>2026-09-24</x:v>
      </x:c>
      <x:c r="G277" s="11" t="n">
        <x:v>960</x:v>
      </x:c>
      <x:c r="H277" s="11" t="n">
        <x:v>960</x:v>
      </x:c>
      <x:c r="I277" s="16" t="b">
        <x:v>1</x:v>
      </x:c>
      <x:c r="J277" s="11" t="str">
        <x:v>Refacción</x:v>
      </x:c>
      <x:c r="K277" s="11" t="n">
        <x:v>20</x:v>
      </x:c>
    </x:row>
    <x:row r="278">
      <x:c r="A278" s="11" t="n">
        <x:v>277</x:v>
      </x:c>
      <x:c r="B278" s="11" t="str">
        <x:v>PO-10277</x:v>
      </x:c>
      <x:c r="C278" s="11" t="str">
        <x:v>S002</x:v>
      </x:c>
      <x:c r="D278" s="11" t="str">
        <x:v>Proveedor Centro</x:v>
      </x:c>
      <x:c r="E278" s="11" t="str">
        <x:v>2026-09-25</x:v>
      </x:c>
      <x:c r="F278" s="11" t="str">
        <x:v>2026-09-25</x:v>
      </x:c>
      <x:c r="G278" s="11" t="n">
        <x:v>785</x:v>
      </x:c>
      <x:c r="H278" s="11" t="n">
        <x:v>785</x:v>
      </x:c>
      <x:c r="I278" s="16" t="b">
        <x:v>1</x:v>
      </x:c>
      <x:c r="J278" s="11" t="str">
        <x:v>Empaque</x:v>
      </x:c>
      <x:c r="K278" s="11" t="n">
        <x:v>108</x:v>
      </x:c>
    </x:row>
    <x:row r="279">
      <x:c r="A279" s="11" t="n">
        <x:v>278</x:v>
      </x:c>
      <x:c r="B279" s="11" t="str">
        <x:v>PO-10278</x:v>
      </x:c>
      <x:c r="C279" s="11" t="str">
        <x:v>S004</x:v>
      </x:c>
      <x:c r="D279" s="11" t="str">
        <x:v>Proveedor Valle</x:v>
      </x:c>
      <x:c r="E279" s="11" t="str">
        <x:v>2026-09-25</x:v>
      </x:c>
      <x:c r="F279" s="11" t="str">
        <x:v>2026-09-27</x:v>
      </x:c>
      <x:c r="G279" s="11" t="n">
        <x:v>252</x:v>
      </x:c>
      <x:c r="H279" s="11" t="n">
        <x:v>251</x:v>
      </x:c>
      <x:c r="I279" s="16" t="b">
        <x:v>0</x:v>
      </x:c>
      <x:c r="J279" s="11" t="str">
        <x:v>Empaque</x:v>
      </x:c>
      <x:c r="K279" s="11" t="n">
        <x:v>62</x:v>
      </x:c>
    </x:row>
    <x:row r="280">
      <x:c r="A280" s="11" t="n">
        <x:v>279</x:v>
      </x:c>
      <x:c r="B280" s="11" t="str">
        <x:v>PO-10279</x:v>
      </x:c>
      <x:c r="C280" s="11" t="str">
        <x:v>S003</x:v>
      </x:c>
      <x:c r="D280" s="11" t="str">
        <x:v>Proveedor Bajío</x:v>
      </x:c>
      <x:c r="E280" s="11" t="str">
        <x:v>2026-09-25</x:v>
      </x:c>
      <x:c r="F280" s="11" t="str">
        <x:v>2026-09-25</x:v>
      </x:c>
      <x:c r="G280" s="11" t="n">
        <x:v>228</x:v>
      </x:c>
      <x:c r="H280" s="11" t="n">
        <x:v>214</x:v>
      </x:c>
      <x:c r="I280" s="16" t="b">
        <x:v>1</x:v>
      </x:c>
      <x:c r="J280" s="11" t="str">
        <x:v>Materia prima</x:v>
      </x:c>
      <x:c r="K280" s="11" t="n">
        <x:v>95</x:v>
      </x:c>
    </x:row>
    <x:row r="281">
      <x:c r="A281" s="11" t="n">
        <x:v>280</x:v>
      </x:c>
      <x:c r="B281" s="11" t="str">
        <x:v>PO-10280</x:v>
      </x:c>
      <x:c r="C281" s="11" t="str">
        <x:v>S003</x:v>
      </x:c>
      <x:c r="D281" s="11" t="str">
        <x:v>Proveedor Bajío</x:v>
      </x:c>
      <x:c r="E281" s="11" t="str">
        <x:v>2026-09-25</x:v>
      </x:c>
      <x:c r="F281" s="11" t="str">
        <x:v>2026-09-25</x:v>
      </x:c>
      <x:c r="G281" s="11" t="n">
        <x:v>612</x:v>
      </x:c>
      <x:c r="H281" s="11" t="n">
        <x:v>575</x:v>
      </x:c>
      <x:c r="I281" s="16" t="b">
        <x:v>1</x:v>
      </x:c>
      <x:c r="J281" s="11" t="str">
        <x:v>Consumible</x:v>
      </x:c>
      <x:c r="K281" s="11" t="n">
        <x:v>50</x:v>
      </x:c>
    </x:row>
    <x:row r="282">
      <x:c r="A282" s="11" t="n">
        <x:v>281</x:v>
      </x:c>
      <x:c r="B282" s="11" t="str">
        <x:v>PO-10281</x:v>
      </x:c>
      <x:c r="C282" s="11" t="str">
        <x:v>S003</x:v>
      </x:c>
      <x:c r="D282" s="11" t="str">
        <x:v>Proveedor Bajío</x:v>
      </x:c>
      <x:c r="E282" s="11" t="str">
        <x:v>2026-09-25</x:v>
      </x:c>
      <x:c r="F282" s="11" t="str">
        <x:v>2026-09-25</x:v>
      </x:c>
      <x:c r="G282" s="11" t="n">
        <x:v>211</x:v>
      </x:c>
      <x:c r="H282" s="11" t="n">
        <x:v>209</x:v>
      </x:c>
      <x:c r="I282" s="16" t="b">
        <x:v>1</x:v>
      </x:c>
      <x:c r="J282" s="11" t="str">
        <x:v>Materia prima</x:v>
      </x:c>
      <x:c r="K282" s="11" t="n">
        <x:v>119</x:v>
      </x:c>
    </x:row>
    <x:row r="283">
      <x:c r="A283" s="11" t="n">
        <x:v>282</x:v>
      </x:c>
      <x:c r="B283" s="11" t="str">
        <x:v>PO-10282</x:v>
      </x:c>
      <x:c r="C283" s="11" t="str">
        <x:v>S001</x:v>
      </x:c>
      <x:c r="D283" s="11" t="str">
        <x:v>Proveedor Norte</x:v>
      </x:c>
      <x:c r="E283" s="11" t="str">
        <x:v>2026-09-26</x:v>
      </x:c>
      <x:c r="F283" s="11" t="str">
        <x:v>2026-09-26</x:v>
      </x:c>
      <x:c r="G283" s="11" t="n">
        <x:v>1014</x:v>
      </x:c>
      <x:c r="H283" s="11" t="n">
        <x:v>907</x:v>
      </x:c>
      <x:c r="I283" s="16" t="b">
        <x:v>1</x:v>
      </x:c>
      <x:c r="J283" s="11" t="str">
        <x:v>Materia prima</x:v>
      </x:c>
      <x:c r="K283" s="11" t="n">
        <x:v>27</x:v>
      </x:c>
    </x:row>
    <x:row r="284">
      <x:c r="A284" s="11" t="n">
        <x:v>283</x:v>
      </x:c>
      <x:c r="B284" s="11" t="str">
        <x:v>PO-10283</x:v>
      </x:c>
      <x:c r="C284" s="11" t="str">
        <x:v>S001</x:v>
      </x:c>
      <x:c r="D284" s="11" t="str">
        <x:v>Proveedor Norte</x:v>
      </x:c>
      <x:c r="E284" s="11" t="str">
        <x:v>2026-09-26</x:v>
      </x:c>
      <x:c r="F284" s="11" t="str">
        <x:v>2026-09-26</x:v>
      </x:c>
      <x:c r="G284" s="11" t="n">
        <x:v>872</x:v>
      </x:c>
      <x:c r="H284" s="11" t="n">
        <x:v>797</x:v>
      </x:c>
      <x:c r="I284" s="16" t="b">
        <x:v>1</x:v>
      </x:c>
      <x:c r="J284" s="11" t="str">
        <x:v>Empaque</x:v>
      </x:c>
      <x:c r="K284" s="11" t="n">
        <x:v>27</x:v>
      </x:c>
    </x:row>
    <x:row r="285">
      <x:c r="A285" s="11" t="n">
        <x:v>284</x:v>
      </x:c>
      <x:c r="B285" s="11" t="str">
        <x:v>PO-10284</x:v>
      </x:c>
      <x:c r="C285" s="11" t="str">
        <x:v>S004</x:v>
      </x:c>
      <x:c r="D285" s="11" t="str">
        <x:v>Proveedor Valle</x:v>
      </x:c>
      <x:c r="E285" s="11" t="str">
        <x:v>2026-09-26</x:v>
      </x:c>
      <x:c r="F285" s="11" t="str">
        <x:v>2026-09-26</x:v>
      </x:c>
      <x:c r="G285" s="11" t="n">
        <x:v>212</x:v>
      </x:c>
      <x:c r="H285" s="11" t="n">
        <x:v>212</x:v>
      </x:c>
      <x:c r="I285" s="16" t="b">
        <x:v>1</x:v>
      </x:c>
      <x:c r="J285" s="11" t="str">
        <x:v>Consumible</x:v>
      </x:c>
      <x:c r="K285" s="11" t="n">
        <x:v>28</x:v>
      </x:c>
    </x:row>
    <x:row r="286">
      <x:c r="A286" s="11" t="n">
        <x:v>285</x:v>
      </x:c>
      <x:c r="B286" s="11" t="str">
        <x:v>PO-10285</x:v>
      </x:c>
      <x:c r="C286" s="11" t="str">
        <x:v>S001</x:v>
      </x:c>
      <x:c r="D286" s="11" t="str">
        <x:v>Proveedor Norte</x:v>
      </x:c>
      <x:c r="E286" s="11" t="str">
        <x:v>2026-09-26</x:v>
      </x:c>
      <x:c r="F286" s="11" t="str">
        <x:v>2026-09-26</x:v>
      </x:c>
      <x:c r="G286" s="11" t="n">
        <x:v>214</x:v>
      </x:c>
      <x:c r="H286" s="11" t="n">
        <x:v>195</x:v>
      </x:c>
      <x:c r="I286" s="16" t="b">
        <x:v>1</x:v>
      </x:c>
      <x:c r="J286" s="11" t="str">
        <x:v>Materia prima</x:v>
      </x:c>
      <x:c r="K286" s="11" t="n">
        <x:v>99</x:v>
      </x:c>
    </x:row>
    <x:row r="287">
      <x:c r="A287" s="11" t="n">
        <x:v>286</x:v>
      </x:c>
      <x:c r="B287" s="11" t="str">
        <x:v>PO-10286</x:v>
      </x:c>
      <x:c r="C287" s="11" t="str">
        <x:v>S004</x:v>
      </x:c>
      <x:c r="D287" s="11" t="str">
        <x:v>Proveedor Valle</x:v>
      </x:c>
      <x:c r="E287" s="11" t="str">
        <x:v>2026-09-26</x:v>
      </x:c>
      <x:c r="F287" s="11" t="str">
        <x:v>2026-09-26</x:v>
      </x:c>
      <x:c r="G287" s="11" t="n">
        <x:v>577</x:v>
      </x:c>
      <x:c r="H287" s="11" t="n">
        <x:v>543</x:v>
      </x:c>
      <x:c r="I287" s="16" t="b">
        <x:v>1</x:v>
      </x:c>
      <x:c r="J287" s="11" t="str">
        <x:v>Materia prima</x:v>
      </x:c>
      <x:c r="K287" s="11" t="n">
        <x:v>78</x:v>
      </x:c>
    </x:row>
    <x:row r="288">
      <x:c r="A288" s="11" t="n">
        <x:v>287</x:v>
      </x:c>
      <x:c r="B288" s="11" t="str">
        <x:v>PO-10287</x:v>
      </x:c>
      <x:c r="C288" s="11" t="str">
        <x:v>S004</x:v>
      </x:c>
      <x:c r="D288" s="11" t="str">
        <x:v>Proveedor Valle</x:v>
      </x:c>
      <x:c r="E288" s="11" t="str">
        <x:v>2026-09-28</x:v>
      </x:c>
      <x:c r="F288" s="11" t="str">
        <x:v>2026-09-28</x:v>
      </x:c>
      <x:c r="G288" s="11" t="n">
        <x:v>976</x:v>
      </x:c>
      <x:c r="H288" s="11" t="n">
        <x:v>976</x:v>
      </x:c>
      <x:c r="I288" s="16" t="b">
        <x:v>1</x:v>
      </x:c>
      <x:c r="J288" s="11" t="str">
        <x:v>Materia prima</x:v>
      </x:c>
      <x:c r="K288" s="11" t="n">
        <x:v>78</x:v>
      </x:c>
    </x:row>
    <x:row r="289">
      <x:c r="A289" s="11" t="n">
        <x:v>288</x:v>
      </x:c>
      <x:c r="B289" s="11" t="str">
        <x:v>PO-10288</x:v>
      </x:c>
      <x:c r="C289" s="11" t="str">
        <x:v>S003</x:v>
      </x:c>
      <x:c r="D289" s="11" t="str">
        <x:v>Proveedor Bajío</x:v>
      </x:c>
      <x:c r="E289" s="11" t="str">
        <x:v>2026-09-28</x:v>
      </x:c>
      <x:c r="F289" s="11" t="str">
        <x:v>2026-09-28</x:v>
      </x:c>
      <x:c r="G289" s="11" t="n">
        <x:v>494</x:v>
      </x:c>
      <x:c r="H289" s="11" t="n">
        <x:v>446</x:v>
      </x:c>
      <x:c r="I289" s="16" t="b">
        <x:v>1</x:v>
      </x:c>
      <x:c r="J289" s="11" t="str">
        <x:v>Materia prima</x:v>
      </x:c>
      <x:c r="K289" s="11" t="n">
        <x:v>96</x:v>
      </x:c>
    </x:row>
    <x:row r="290">
      <x:c r="A290" s="11" t="n">
        <x:v>289</x:v>
      </x:c>
      <x:c r="B290" s="11" t="str">
        <x:v>PO-10289</x:v>
      </x:c>
      <x:c r="C290" s="11" t="str">
        <x:v>S001</x:v>
      </x:c>
      <x:c r="D290" s="11" t="str">
        <x:v>Proveedor Norte</x:v>
      </x:c>
      <x:c r="E290" s="11" t="str">
        <x:v>2026-09-28</x:v>
      </x:c>
      <x:c r="F290" s="11" t="str">
        <x:v>2026-09-28</x:v>
      </x:c>
      <x:c r="G290" s="11" t="n">
        <x:v>496</x:v>
      </x:c>
      <x:c r="H290" s="11" t="n">
        <x:v>488</x:v>
      </x:c>
      <x:c r="I290" s="16" t="b">
        <x:v>1</x:v>
      </x:c>
      <x:c r="J290" s="11" t="str">
        <x:v>Refacción</x:v>
      </x:c>
      <x:c r="K290" s="11" t="n">
        <x:v>73</x:v>
      </x:c>
    </x:row>
    <x:row r="291">
      <x:c r="A291" s="11" t="n">
        <x:v>290</x:v>
      </x:c>
      <x:c r="B291" s="11" t="str">
        <x:v>PO-10290</x:v>
      </x:c>
      <x:c r="C291" s="11" t="str">
        <x:v>S004</x:v>
      </x:c>
      <x:c r="D291" s="11" t="str">
        <x:v>Proveedor Valle</x:v>
      </x:c>
      <x:c r="E291" s="11" t="str">
        <x:v>2026-09-28</x:v>
      </x:c>
      <x:c r="F291" s="11" t="str">
        <x:v>2026-09-28</x:v>
      </x:c>
      <x:c r="G291" s="11" t="n">
        <x:v>1010</x:v>
      </x:c>
      <x:c r="H291" s="11" t="n">
        <x:v>951</x:v>
      </x:c>
      <x:c r="I291" s="16" t="b">
        <x:v>1</x:v>
      </x:c>
      <x:c r="J291" s="11" t="str">
        <x:v>Empaque</x:v>
      </x:c>
      <x:c r="K291" s="11" t="n">
        <x:v>25</x:v>
      </x:c>
    </x:row>
    <x:row r="292">
      <x:c r="A292" s="11" t="n">
        <x:v>291</x:v>
      </x:c>
      <x:c r="B292" s="11" t="str">
        <x:v>PO-10291</x:v>
      </x:c>
      <x:c r="C292" s="11" t="str">
        <x:v>S001</x:v>
      </x:c>
      <x:c r="D292" s="11" t="str">
        <x:v>Proveedor Norte</x:v>
      </x:c>
      <x:c r="E292" s="11" t="str">
        <x:v>2026-09-28</x:v>
      </x:c>
      <x:c r="F292" s="11" t="str">
        <x:v>2026-10-01</x:v>
      </x:c>
      <x:c r="G292" s="11" t="n">
        <x:v>361</x:v>
      </x:c>
      <x:c r="H292" s="11" t="n">
        <x:v>337</x:v>
      </x:c>
      <x:c r="I292" s="16" t="b">
        <x:v>0</x:v>
      </x:c>
      <x:c r="J292" s="11" t="str">
        <x:v>Refacción</x:v>
      </x:c>
      <x:c r="K292" s="11" t="n">
        <x:v>94</x:v>
      </x:c>
    </x:row>
    <x:row r="293">
      <x:c r="A293" s="11" t="n">
        <x:v>292</x:v>
      </x:c>
      <x:c r="B293" s="11" t="str">
        <x:v>PO-10292</x:v>
      </x:c>
      <x:c r="C293" s="11" t="str">
        <x:v>S002</x:v>
      </x:c>
      <x:c r="D293" s="11" t="str">
        <x:v>Proveedor Centro</x:v>
      </x:c>
      <x:c r="E293" s="11" t="str">
        <x:v>2026-09-29</x:v>
      </x:c>
      <x:c r="F293" s="11" t="str">
        <x:v>2026-09-29</x:v>
      </x:c>
      <x:c r="G293" s="11" t="n">
        <x:v>1061</x:v>
      </x:c>
      <x:c r="H293" s="11" t="n">
        <x:v>1061</x:v>
      </x:c>
      <x:c r="I293" s="16" t="b">
        <x:v>1</x:v>
      </x:c>
      <x:c r="J293" s="11" t="str">
        <x:v>Refacción</x:v>
      </x:c>
      <x:c r="K293" s="11" t="n">
        <x:v>57</x:v>
      </x:c>
    </x:row>
    <x:row r="294">
      <x:c r="A294" s="11" t="n">
        <x:v>293</x:v>
      </x:c>
      <x:c r="B294" s="11" t="str">
        <x:v>PO-10293</x:v>
      </x:c>
      <x:c r="C294" s="11" t="str">
        <x:v>S003</x:v>
      </x:c>
      <x:c r="D294" s="11" t="str">
        <x:v>Proveedor Bajío</x:v>
      </x:c>
      <x:c r="E294" s="11" t="str">
        <x:v>2026-09-29</x:v>
      </x:c>
      <x:c r="F294" s="11" t="str">
        <x:v>2026-09-29</x:v>
      </x:c>
      <x:c r="G294" s="11" t="n">
        <x:v>116</x:v>
      </x:c>
      <x:c r="H294" s="11" t="n">
        <x:v>101</x:v>
      </x:c>
      <x:c r="I294" s="16" t="b">
        <x:v>1</x:v>
      </x:c>
      <x:c r="J294" s="11" t="str">
        <x:v>Empaque</x:v>
      </x:c>
      <x:c r="K294" s="11" t="n">
        <x:v>84</x:v>
      </x:c>
    </x:row>
    <x:row r="295">
      <x:c r="A295" s="11" t="n">
        <x:v>294</x:v>
      </x:c>
      <x:c r="B295" s="11" t="str">
        <x:v>PO-10294</x:v>
      </x:c>
      <x:c r="C295" s="11" t="str">
        <x:v>S001</x:v>
      </x:c>
      <x:c r="D295" s="11" t="str">
        <x:v>Proveedor Norte</x:v>
      </x:c>
      <x:c r="E295" s="11" t="str">
        <x:v>2026-09-29</x:v>
      </x:c>
      <x:c r="F295" s="11" t="str">
        <x:v>2026-09-29</x:v>
      </x:c>
      <x:c r="G295" s="11" t="n">
        <x:v>964</x:v>
      </x:c>
      <x:c r="H295" s="11" t="n">
        <x:v>916</x:v>
      </x:c>
      <x:c r="I295" s="16" t="b">
        <x:v>1</x:v>
      </x:c>
      <x:c r="J295" s="11" t="str">
        <x:v>Empaque</x:v>
      </x:c>
      <x:c r="K295" s="11" t="n">
        <x:v>101</x:v>
      </x:c>
    </x:row>
    <x:row r="296">
      <x:c r="A296" s="11" t="n">
        <x:v>295</x:v>
      </x:c>
      <x:c r="B296" s="11" t="str">
        <x:v>PO-10295</x:v>
      </x:c>
      <x:c r="C296" s="11" t="str">
        <x:v>S001</x:v>
      </x:c>
      <x:c r="D296" s="11" t="str">
        <x:v>Proveedor Norte</x:v>
      </x:c>
      <x:c r="E296" s="11" t="str">
        <x:v>2026-09-30</x:v>
      </x:c>
      <x:c r="F296" s="11" t="str">
        <x:v>2026-09-30</x:v>
      </x:c>
      <x:c r="G296" s="11" t="n">
        <x:v>799</x:v>
      </x:c>
      <x:c r="H296" s="11" t="n">
        <x:v>787</x:v>
      </x:c>
      <x:c r="I296" s="16" t="b">
        <x:v>1</x:v>
      </x:c>
      <x:c r="J296" s="11" t="str">
        <x:v>Consumible</x:v>
      </x:c>
      <x:c r="K296" s="11" t="n">
        <x:v>96</x:v>
      </x:c>
    </x:row>
    <x:row r="297">
      <x:c r="A297" s="11" t="n">
        <x:v>296</x:v>
      </x:c>
      <x:c r="B297" s="11" t="str">
        <x:v>PO-10296</x:v>
      </x:c>
      <x:c r="C297" s="11" t="str">
        <x:v>S003</x:v>
      </x:c>
      <x:c r="D297" s="11" t="str">
        <x:v>Proveedor Bajío</x:v>
      </x:c>
      <x:c r="E297" s="11" t="str">
        <x:v>2026-09-30</x:v>
      </x:c>
      <x:c r="F297" s="11" t="str">
        <x:v>2026-09-30</x:v>
      </x:c>
      <x:c r="G297" s="11" t="n">
        <x:v>787</x:v>
      </x:c>
      <x:c r="H297" s="11" t="n">
        <x:v>787</x:v>
      </x:c>
      <x:c r="I297" s="16" t="b">
        <x:v>1</x:v>
      </x:c>
      <x:c r="J297" s="11" t="str">
        <x:v>Consumible</x:v>
      </x:c>
      <x:c r="K297" s="11" t="n">
        <x:v>62</x:v>
      </x:c>
    </x:row>
    <x:row r="298">
      <x:c r="A298" s="11" t="n">
        <x:v>297</x:v>
      </x:c>
      <x:c r="B298" s="11" t="str">
        <x:v>PO-10297</x:v>
      </x:c>
      <x:c r="C298" s="11" t="str">
        <x:v>S002</x:v>
      </x:c>
      <x:c r="D298" s="11" t="str">
        <x:v>Proveedor Centro</x:v>
      </x:c>
      <x:c r="E298" s="11" t="str">
        <x:v>2026-09-30</x:v>
      </x:c>
      <x:c r="F298" s="11" t="str">
        <x:v>2026-09-30</x:v>
      </x:c>
      <x:c r="G298" s="11" t="n">
        <x:v>314</x:v>
      </x:c>
      <x:c r="H298" s="11" t="n">
        <x:v>269</x:v>
      </x:c>
      <x:c r="I298" s="16" t="b">
        <x:v>1</x:v>
      </x:c>
      <x:c r="J298" s="11" t="str">
        <x:v>Empaque</x:v>
      </x:c>
      <x:c r="K298" s="11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3ce274390e3745b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1" hidden="0" customWidth="1"/>
    <x:col min="7" max="7" width="19" hidden="0" customWidth="1"/>
    <x:col min="8" max="8" width="10" hidden="0" customWidth="1"/>
    <x:col min="9" max="9" width="10" hidden="0" customWidth="1"/>
  </x:cols>
  <x:sheetData>
    <x:row r="1">
      <x:c r="A1" s="10" t="str">
        <x:v>id</x:v>
      </x:c>
      <x:c r="B1" s="10" t="str">
        <x:v>fecha</x:v>
      </x:c>
      <x:c r="C1" s="10" t="str">
        <x:v>linea_id</x:v>
      </x:c>
      <x:c r="D1" s="10" t="str">
        <x:v>linea</x:v>
      </x:c>
      <x:c r="E1" s="10" t="str">
        <x:v>defecto</x:v>
      </x:c>
      <x:c r="F1" s="10" t="str">
        <x:v>severidad</x:v>
      </x:c>
      <x:c r="G1" s="10" t="str">
        <x:v>cantidad_afectada</x:v>
      </x:c>
      <x:c r="H1" s="10" t="str">
        <x:v>accion</x:v>
      </x:c>
      <x:c r="I1" s="10" t="str">
        <x:v>estatus</x:v>
      </x:c>
    </x:row>
    <x:row r="2">
      <x:c r="A2" s="11" t="n">
        <x:v>1</x:v>
      </x:c>
      <x:c r="B2" s="11" t="str">
        <x:v>2026-07-01</x:v>
      </x:c>
      <x:c r="C2" s="11" t="str">
        <x:v>L2</x:v>
      </x:c>
      <x:c r="D2" s="11" t="str">
        <x:v>Envasado B</x:v>
      </x:c>
      <x:c r="E2" s="11" t="str">
        <x:v>Etiqueta</x:v>
      </x:c>
      <x:c r="F2" s="11" t="str">
        <x:v>Alta</x:v>
      </x:c>
      <x:c r="G2" s="11" t="n">
        <x:v>164</x:v>
      </x:c>
      <x:c r="H2" s="11" t="str">
        <x:v>Reentrenamiento</x:v>
      </x:c>
      <x:c r="I2" s="11" t="str">
        <x:v>Cerrada</x:v>
      </x:c>
    </x:row>
    <x:row r="3">
      <x:c r="A3" s="11" t="n">
        <x:v>2</x:v>
      </x:c>
      <x:c r="B3" s="11" t="str">
        <x:v>2026-07-01</x:v>
      </x:c>
      <x:c r="C3" s="11" t="str">
        <x:v>L4</x:v>
      </x:c>
      <x:c r="D3" s="11" t="str">
        <x:v>Etiquetado</x:v>
      </x:c>
      <x:c r="E3" s="11" t="str">
        <x:v>Dimensión</x:v>
      </x:c>
      <x:c r="F3" s="11" t="str">
        <x:v>Alta</x:v>
      </x:c>
      <x:c r="G3" s="11" t="n">
        <x:v>57</x:v>
      </x:c>
      <x:c r="H3" s="11" t="str">
        <x:v>Inspección adicional</x:v>
      </x:c>
      <x:c r="I3" s="11" t="str">
        <x:v>Cerrada</x:v>
      </x:c>
    </x:row>
    <x:row r="4">
      <x:c r="A4" s="11" t="n">
        <x:v>3</x:v>
      </x:c>
      <x:c r="B4" s="11" t="str">
        <x:v>2026-07-03</x:v>
      </x:c>
      <x:c r="C4" s="11" t="str">
        <x:v>L1</x:v>
      </x:c>
      <x:c r="D4" s="11" t="str">
        <x:v>Envasado A</x:v>
      </x:c>
      <x:c r="E4" s="11" t="str">
        <x:v>Sellado</x:v>
      </x:c>
      <x:c r="F4" s="11" t="str">
        <x:v>Media</x:v>
      </x:c>
      <x:c r="G4" s="11" t="n">
        <x:v>12</x:v>
      </x:c>
      <x:c r="H4" s="11" t="str">
        <x:v>Ajuste mecánico</x:v>
      </x:c>
      <x:c r="I4" s="11" t="str">
        <x:v>Cerrada</x:v>
      </x:c>
    </x:row>
    <x:row r="5">
      <x:c r="A5" s="11" t="n">
        <x:v>4</x:v>
      </x:c>
      <x:c r="B5" s="11" t="str">
        <x:v>2026-07-05</x:v>
      </x:c>
      <x:c r="C5" s="11" t="str">
        <x:v>L4</x:v>
      </x:c>
      <x:c r="D5" s="11" t="str">
        <x:v>Etiquetado</x:v>
      </x:c>
      <x:c r="E5" s="11" t="str">
        <x:v>Etiqueta</x:v>
      </x:c>
      <x:c r="F5" s="11" t="str">
        <x:v>Media</x:v>
      </x:c>
      <x:c r="G5" s="11" t="n">
        <x:v>16</x:v>
      </x:c>
      <x:c r="H5" s="11" t="str">
        <x:v>Ajuste de parámetros</x:v>
      </x:c>
      <x:c r="I5" s="11" t="str">
        <x:v>Cerrada</x:v>
      </x:c>
    </x:row>
    <x:row r="6">
      <x:c r="A6" s="11" t="n">
        <x:v>5</x:v>
      </x:c>
      <x:c r="B6" s="11" t="str">
        <x:v>2026-07-07</x:v>
      </x:c>
      <x:c r="C6" s="11" t="str">
        <x:v>L2</x:v>
      </x:c>
      <x:c r="D6" s="11" t="str">
        <x:v>Envasado B</x:v>
      </x:c>
      <x:c r="E6" s="11" t="str">
        <x:v>Etiqueta</x:v>
      </x:c>
      <x:c r="F6" s="11" t="str">
        <x:v>Media</x:v>
      </x:c>
      <x:c r="G6" s="11" t="n">
        <x:v>49</x:v>
      </x:c>
      <x:c r="H6" s="11" t="str">
        <x:v>Cambio de lote</x:v>
      </x:c>
      <x:c r="I6" s="11" t="str">
        <x:v>En seguimiento</x:v>
      </x:c>
    </x:row>
    <x:row r="7">
      <x:c r="A7" s="11" t="n">
        <x:v>6</x:v>
      </x:c>
      <x:c r="B7" s="11" t="str">
        <x:v>2026-07-13</x:v>
      </x:c>
      <x:c r="C7" s="11" t="str">
        <x:v>L1</x:v>
      </x:c>
      <x:c r="D7" s="11" t="str">
        <x:v>Envasado A</x:v>
      </x:c>
      <x:c r="E7" s="11" t="str">
        <x:v>Sellado</x:v>
      </x:c>
      <x:c r="F7" s="11" t="str">
        <x:v>Media</x:v>
      </x:c>
      <x:c r="G7" s="11" t="n">
        <x:v>102</x:v>
      </x:c>
      <x:c r="H7" s="11" t="str">
        <x:v>Ajuste de parámetros</x:v>
      </x:c>
      <x:c r="I7" s="11" t="str">
        <x:v>Cerrada</x:v>
      </x:c>
    </x:row>
    <x:row r="8">
      <x:c r="A8" s="11" t="n">
        <x:v>7</x:v>
      </x:c>
      <x:c r="B8" s="11" t="str">
        <x:v>2026-07-15</x:v>
      </x:c>
      <x:c r="C8" s="11" t="str">
        <x:v>L4</x:v>
      </x:c>
      <x:c r="D8" s="11" t="str">
        <x:v>Etiquetado</x:v>
      </x:c>
      <x:c r="E8" s="11" t="str">
        <x:v>Etiqueta</x:v>
      </x:c>
      <x:c r="F8" s="11" t="str">
        <x:v>Media</x:v>
      </x:c>
      <x:c r="G8" s="11" t="n">
        <x:v>100</x:v>
      </x:c>
      <x:c r="H8" s="11" t="str">
        <x:v>Reentrenamiento</x:v>
      </x:c>
      <x:c r="I8" s="11" t="str">
        <x:v>En seguimiento</x:v>
      </x:c>
    </x:row>
    <x:row r="9">
      <x:c r="A9" s="11" t="n">
        <x:v>8</x:v>
      </x:c>
      <x:c r="B9" s="11" t="str">
        <x:v>2026-07-16</x:v>
      </x:c>
      <x:c r="C9" s="11" t="str">
        <x:v>L4</x:v>
      </x:c>
      <x:c r="D9" s="11" t="str">
        <x:v>Etiquetado</x:v>
      </x:c>
      <x:c r="E9" s="11" t="str">
        <x:v>Sellado</x:v>
      </x:c>
      <x:c r="F9" s="11" t="str">
        <x:v>Baja</x:v>
      </x:c>
      <x:c r="G9" s="11" t="n">
        <x:v>41</x:v>
      </x:c>
      <x:c r="H9" s="11" t="str">
        <x:v>Reentrenamiento</x:v>
      </x:c>
      <x:c r="I9" s="11" t="str">
        <x:v>Cerrada</x:v>
      </x:c>
    </x:row>
    <x:row r="10">
      <x:c r="A10" s="11" t="n">
        <x:v>9</x:v>
      </x:c>
      <x:c r="B10" s="11" t="str">
        <x:v>2026-07-16</x:v>
      </x:c>
      <x:c r="C10" s="11" t="str">
        <x:v>L2</x:v>
      </x:c>
      <x:c r="D10" s="11" t="str">
        <x:v>Envasado B</x:v>
      </x:c>
      <x:c r="E10" s="11" t="str">
        <x:v>Contaminación visual</x:v>
      </x:c>
      <x:c r="F10" s="11" t="str">
        <x:v>Alta</x:v>
      </x:c>
      <x:c r="G10" s="11" t="n">
        <x:v>100</x:v>
      </x:c>
      <x:c r="H10" s="11" t="str">
        <x:v>Cambio de lote</x:v>
      </x:c>
      <x:c r="I10" s="11" t="str">
        <x:v>En seguimiento</x:v>
      </x:c>
    </x:row>
    <x:row r="11">
      <x:c r="A11" s="11" t="n">
        <x:v>10</x:v>
      </x:c>
      <x:c r="B11" s="11" t="str">
        <x:v>2026-07-17</x:v>
      </x:c>
      <x:c r="C11" s="11" t="str">
        <x:v>L2</x:v>
      </x:c>
      <x:c r="D11" s="11" t="str">
        <x:v>Envasado B</x:v>
      </x:c>
      <x:c r="E11" s="11" t="str">
        <x:v>Sellado</x:v>
      </x:c>
      <x:c r="F11" s="11" t="str">
        <x:v>Media</x:v>
      </x:c>
      <x:c r="G11" s="11" t="n">
        <x:v>142</x:v>
      </x:c>
      <x:c r="H11" s="11" t="str">
        <x:v>Cambio de lote</x:v>
      </x:c>
      <x:c r="I11" s="11" t="str">
        <x:v>Cerrada</x:v>
      </x:c>
    </x:row>
    <x:row r="12">
      <x:c r="A12" s="11" t="n">
        <x:v>11</x:v>
      </x:c>
      <x:c r="B12" s="11" t="str">
        <x:v>2026-07-18</x:v>
      </x:c>
      <x:c r="C12" s="11" t="str">
        <x:v>L2</x:v>
      </x:c>
      <x:c r="D12" s="11" t="str">
        <x:v>Envasado B</x:v>
      </x:c>
      <x:c r="E12" s="11" t="str">
        <x:v>Sellado</x:v>
      </x:c>
      <x:c r="F12" s="11" t="str">
        <x:v>Media</x:v>
      </x:c>
      <x:c r="G12" s="11" t="n">
        <x:v>37</x:v>
      </x:c>
      <x:c r="H12" s="11" t="str">
        <x:v>Ajuste mecánico</x:v>
      </x:c>
      <x:c r="I12" s="11" t="str">
        <x:v>En seguimiento</x:v>
      </x:c>
    </x:row>
    <x:row r="13">
      <x:c r="A13" s="11" t="n">
        <x:v>12</x:v>
      </x:c>
      <x:c r="B13" s="11" t="str">
        <x:v>2026-07-19</x:v>
      </x:c>
      <x:c r="C13" s="11" t="str">
        <x:v>L2</x:v>
      </x:c>
      <x:c r="D13" s="11" t="str">
        <x:v>Envasado B</x:v>
      </x:c>
      <x:c r="E13" s="11" t="str">
        <x:v>Sellado</x:v>
      </x:c>
      <x:c r="F13" s="11" t="str">
        <x:v>Alta</x:v>
      </x:c>
      <x:c r="G13" s="11" t="n">
        <x:v>174</x:v>
      </x:c>
      <x:c r="H13" s="11" t="str">
        <x:v>Ajuste mecánico</x:v>
      </x:c>
      <x:c r="I13" s="11" t="str">
        <x:v>Cerrada</x:v>
      </x:c>
    </x:row>
    <x:row r="14">
      <x:c r="A14" s="11" t="n">
        <x:v>13</x:v>
      </x:c>
      <x:c r="B14" s="11" t="str">
        <x:v>2026-07-21</x:v>
      </x:c>
      <x:c r="C14" s="11" t="str">
        <x:v>L4</x:v>
      </x:c>
      <x:c r="D14" s="11" t="str">
        <x:v>Etiquetado</x:v>
      </x:c>
      <x:c r="E14" s="11" t="str">
        <x:v>Contaminación visual</x:v>
      </x:c>
      <x:c r="F14" s="11" t="str">
        <x:v>Media</x:v>
      </x:c>
      <x:c r="G14" s="11" t="n">
        <x:v>132</x:v>
      </x:c>
      <x:c r="H14" s="11" t="str">
        <x:v>Ajuste mecánico</x:v>
      </x:c>
      <x:c r="I14" s="11" t="str">
        <x:v>Cerrada</x:v>
      </x:c>
    </x:row>
    <x:row r="15">
      <x:c r="A15" s="11" t="n">
        <x:v>14</x:v>
      </x:c>
      <x:c r="B15" s="11" t="str">
        <x:v>2026-07-21</x:v>
      </x:c>
      <x:c r="C15" s="11" t="str">
        <x:v>L2</x:v>
      </x:c>
      <x:c r="D15" s="11" t="str">
        <x:v>Envasado B</x:v>
      </x:c>
      <x:c r="E15" s="11" t="str">
        <x:v>Dimensión</x:v>
      </x:c>
      <x:c r="F15" s="11" t="str">
        <x:v>Media</x:v>
      </x:c>
      <x:c r="G15" s="11" t="n">
        <x:v>139</x:v>
      </x:c>
      <x:c r="H15" s="11" t="str">
        <x:v>Inspección adicional</x:v>
      </x:c>
      <x:c r="I15" s="11" t="str">
        <x:v>En seguimiento</x:v>
      </x:c>
    </x:row>
    <x:row r="16">
      <x:c r="A16" s="11" t="n">
        <x:v>15</x:v>
      </x:c>
      <x:c r="B16" s="11" t="str">
        <x:v>2026-07-22</x:v>
      </x:c>
      <x:c r="C16" s="11" t="str">
        <x:v>L4</x:v>
      </x:c>
      <x:c r="D16" s="11" t="str">
        <x:v>Etiquetado</x:v>
      </x:c>
      <x:c r="E16" s="11" t="str">
        <x:v>Dimensión</x:v>
      </x:c>
      <x:c r="F16" s="11" t="str">
        <x:v>Alta</x:v>
      </x:c>
      <x:c r="G16" s="11" t="n">
        <x:v>168</x:v>
      </x:c>
      <x:c r="H16" s="11" t="str">
        <x:v>Ajuste mecánico</x:v>
      </x:c>
      <x:c r="I16" s="11" t="str">
        <x:v>En seguimiento</x:v>
      </x:c>
    </x:row>
    <x:row r="17">
      <x:c r="A17" s="11" t="n">
        <x:v>16</x:v>
      </x:c>
      <x:c r="B17" s="11" t="str">
        <x:v>2026-07-27</x:v>
      </x:c>
      <x:c r="C17" s="11" t="str">
        <x:v>L2</x:v>
      </x:c>
      <x:c r="D17" s="11" t="str">
        <x:v>Envasado B</x:v>
      </x:c>
      <x:c r="E17" s="11" t="str">
        <x:v>Color</x:v>
      </x:c>
      <x:c r="F17" s="11" t="str">
        <x:v>Media</x:v>
      </x:c>
      <x:c r="G17" s="11" t="n">
        <x:v>83</x:v>
      </x:c>
      <x:c r="H17" s="11" t="str">
        <x:v>Inspección adicional</x:v>
      </x:c>
      <x:c r="I17" s="11" t="str">
        <x:v>Cerrada</x:v>
      </x:c>
    </x:row>
    <x:row r="18">
      <x:c r="A18" s="11" t="n">
        <x:v>17</x:v>
      </x:c>
      <x:c r="B18" s="11" t="str">
        <x:v>2026-07-28</x:v>
      </x:c>
      <x:c r="C18" s="11" t="str">
        <x:v>L2</x:v>
      </x:c>
      <x:c r="D18" s="11" t="str">
        <x:v>Envasado B</x:v>
      </x:c>
      <x:c r="E18" s="11" t="str">
        <x:v>Dimensión</x:v>
      </x:c>
      <x:c r="F18" s="11" t="str">
        <x:v>Media</x:v>
      </x:c>
      <x:c r="G18" s="11" t="n">
        <x:v>145</x:v>
      </x:c>
      <x:c r="H18" s="11" t="str">
        <x:v>Ajuste de parámetros</x:v>
      </x:c>
      <x:c r="I18" s="11" t="str">
        <x:v>Cerrada</x:v>
      </x:c>
    </x:row>
    <x:row r="19">
      <x:c r="A19" s="11" t="n">
        <x:v>18</x:v>
      </x:c>
      <x:c r="B19" s="11" t="str">
        <x:v>2026-07-28</x:v>
      </x:c>
      <x:c r="C19" s="11" t="str">
        <x:v>L1</x:v>
      </x:c>
      <x:c r="D19" s="11" t="str">
        <x:v>Envasado A</x:v>
      </x:c>
      <x:c r="E19" s="11" t="str">
        <x:v>Dimensión</x:v>
      </x:c>
      <x:c r="F19" s="11" t="str">
        <x:v>Alta</x:v>
      </x:c>
      <x:c r="G19" s="11" t="n">
        <x:v>137</x:v>
      </x:c>
      <x:c r="H19" s="11" t="str">
        <x:v>Cambio de lote</x:v>
      </x:c>
      <x:c r="I19" s="11" t="str">
        <x:v>Cerrada</x:v>
      </x:c>
    </x:row>
    <x:row r="20">
      <x:c r="A20" s="11" t="n">
        <x:v>19</x:v>
      </x:c>
      <x:c r="B20" s="11" t="str">
        <x:v>2026-07-29</x:v>
      </x:c>
      <x:c r="C20" s="11" t="str">
        <x:v>L1</x:v>
      </x:c>
      <x:c r="D20" s="11" t="str">
        <x:v>Envasado A</x:v>
      </x:c>
      <x:c r="E20" s="11" t="str">
        <x:v>Color</x:v>
      </x:c>
      <x:c r="F20" s="11" t="str">
        <x:v>Media</x:v>
      </x:c>
      <x:c r="G20" s="11" t="n">
        <x:v>114</x:v>
      </x:c>
      <x:c r="H20" s="11" t="str">
        <x:v>Inspección adicional</x:v>
      </x:c>
      <x:c r="I20" s="11" t="str">
        <x:v>Cerrada</x:v>
      </x:c>
    </x:row>
    <x:row r="21">
      <x:c r="A21" s="11" t="n">
        <x:v>20</x:v>
      </x:c>
      <x:c r="B21" s="11" t="str">
        <x:v>2026-07-29</x:v>
      </x:c>
      <x:c r="C21" s="11" t="str">
        <x:v>L4</x:v>
      </x:c>
      <x:c r="D21" s="11" t="str">
        <x:v>Etiquetado</x:v>
      </x:c>
      <x:c r="E21" s="11" t="str">
        <x:v>Color</x:v>
      </x:c>
      <x:c r="F21" s="11" t="str">
        <x:v>Media</x:v>
      </x:c>
      <x:c r="G21" s="11" t="n">
        <x:v>132</x:v>
      </x:c>
      <x:c r="H21" s="11" t="str">
        <x:v>Cambio de lote</x:v>
      </x:c>
      <x:c r="I21" s="11" t="str">
        <x:v>Cerrada</x:v>
      </x:c>
    </x:row>
    <x:row r="22">
      <x:c r="A22" s="11" t="n">
        <x:v>21</x:v>
      </x:c>
      <x:c r="B22" s="11" t="str">
        <x:v>2026-07-30</x:v>
      </x:c>
      <x:c r="C22" s="11" t="str">
        <x:v>L1</x:v>
      </x:c>
      <x:c r="D22" s="11" t="str">
        <x:v>Envasado A</x:v>
      </x:c>
      <x:c r="E22" s="11" t="str">
        <x:v>Etiqueta</x:v>
      </x:c>
      <x:c r="F22" s="11" t="str">
        <x:v>Alta</x:v>
      </x:c>
      <x:c r="G22" s="11" t="n">
        <x:v>64</x:v>
      </x:c>
      <x:c r="H22" s="11" t="str">
        <x:v>Cambio de lote</x:v>
      </x:c>
      <x:c r="I22" s="11" t="str">
        <x:v>En seguimiento</x:v>
      </x:c>
    </x:row>
    <x:row r="23">
      <x:c r="A23" s="11" t="n">
        <x:v>22</x:v>
      </x:c>
      <x:c r="B23" s="11" t="str">
        <x:v>2026-08-01</x:v>
      </x:c>
      <x:c r="C23" s="11" t="str">
        <x:v>L1</x:v>
      </x:c>
      <x:c r="D23" s="11" t="str">
        <x:v>Envasado A</x:v>
      </x:c>
      <x:c r="E23" s="11" t="str">
        <x:v>Dimensión</x:v>
      </x:c>
      <x:c r="F23" s="11" t="str">
        <x:v>Baja</x:v>
      </x:c>
      <x:c r="G23" s="11" t="n">
        <x:v>75</x:v>
      </x:c>
      <x:c r="H23" s="11" t="str">
        <x:v>Reentrenamiento</x:v>
      </x:c>
      <x:c r="I23" s="11" t="str">
        <x:v>Cerrada</x:v>
      </x:c>
    </x:row>
    <x:row r="24">
      <x:c r="A24" s="11" t="n">
        <x:v>23</x:v>
      </x:c>
      <x:c r="B24" s="11" t="str">
        <x:v>2026-08-04</x:v>
      </x:c>
      <x:c r="C24" s="11" t="str">
        <x:v>L1</x:v>
      </x:c>
      <x:c r="D24" s="11" t="str">
        <x:v>Envasado A</x:v>
      </x:c>
      <x:c r="E24" s="11" t="str">
        <x:v>Contaminación visual</x:v>
      </x:c>
      <x:c r="F24" s="11" t="str">
        <x:v>Media</x:v>
      </x:c>
      <x:c r="G24" s="11" t="n">
        <x:v>90</x:v>
      </x:c>
      <x:c r="H24" s="11" t="str">
        <x:v>Reentrenamiento</x:v>
      </x:c>
      <x:c r="I24" s="11" t="str">
        <x:v>En seguimiento</x:v>
      </x:c>
    </x:row>
    <x:row r="25">
      <x:c r="A25" s="11" t="n">
        <x:v>24</x:v>
      </x:c>
      <x:c r="B25" s="11" t="str">
        <x:v>2026-08-05</x:v>
      </x:c>
      <x:c r="C25" s="11" t="str">
        <x:v>L3</x:v>
      </x:c>
      <x:c r="D25" s="11" t="str">
        <x:v>Empaque</x:v>
      </x:c>
      <x:c r="E25" s="11" t="str">
        <x:v>Dimensión</x:v>
      </x:c>
      <x:c r="F25" s="11" t="str">
        <x:v>Media</x:v>
      </x:c>
      <x:c r="G25" s="11" t="n">
        <x:v>53</x:v>
      </x:c>
      <x:c r="H25" s="11" t="str">
        <x:v>Ajuste mecánico</x:v>
      </x:c>
      <x:c r="I25" s="11" t="str">
        <x:v>Cerrada</x:v>
      </x:c>
    </x:row>
    <x:row r="26">
      <x:c r="A26" s="11" t="n">
        <x:v>25</x:v>
      </x:c>
      <x:c r="B26" s="11" t="str">
        <x:v>2026-08-06</x:v>
      </x:c>
      <x:c r="C26" s="11" t="str">
        <x:v>L3</x:v>
      </x:c>
      <x:c r="D26" s="11" t="str">
        <x:v>Empaque</x:v>
      </x:c>
      <x:c r="E26" s="11" t="str">
        <x:v>Sellado</x:v>
      </x:c>
      <x:c r="F26" s="11" t="str">
        <x:v>Media</x:v>
      </x:c>
      <x:c r="G26" s="11" t="n">
        <x:v>77</x:v>
      </x:c>
      <x:c r="H26" s="11" t="str">
        <x:v>Cambio de lote</x:v>
      </x:c>
      <x:c r="I26" s="11" t="str">
        <x:v>Cerrada</x:v>
      </x:c>
    </x:row>
    <x:row r="27">
      <x:c r="A27" s="11" t="n">
        <x:v>26</x:v>
      </x:c>
      <x:c r="B27" s="11" t="str">
        <x:v>2026-08-06</x:v>
      </x:c>
      <x:c r="C27" s="11" t="str">
        <x:v>L4</x:v>
      </x:c>
      <x:c r="D27" s="11" t="str">
        <x:v>Etiquetado</x:v>
      </x:c>
      <x:c r="E27" s="11" t="str">
        <x:v>Contaminación visual</x:v>
      </x:c>
      <x:c r="F27" s="11" t="str">
        <x:v>Baja</x:v>
      </x:c>
      <x:c r="G27" s="11" t="n">
        <x:v>125</x:v>
      </x:c>
      <x:c r="H27" s="11" t="str">
        <x:v>Ajuste mecánico</x:v>
      </x:c>
      <x:c r="I27" s="11" t="str">
        <x:v>Cerrada</x:v>
      </x:c>
    </x:row>
    <x:row r="28">
      <x:c r="A28" s="11" t="n">
        <x:v>27</x:v>
      </x:c>
      <x:c r="B28" s="11" t="str">
        <x:v>2026-08-07</x:v>
      </x:c>
      <x:c r="C28" s="11" t="str">
        <x:v>L2</x:v>
      </x:c>
      <x:c r="D28" s="11" t="str">
        <x:v>Envasado B</x:v>
      </x:c>
      <x:c r="E28" s="11" t="str">
        <x:v>Etiqueta</x:v>
      </x:c>
      <x:c r="F28" s="11" t="str">
        <x:v>Media</x:v>
      </x:c>
      <x:c r="G28" s="11" t="n">
        <x:v>126</x:v>
      </x:c>
      <x:c r="H28" s="11" t="str">
        <x:v>Reentrenamiento</x:v>
      </x:c>
      <x:c r="I28" s="11" t="str">
        <x:v>En seguimiento</x:v>
      </x:c>
    </x:row>
    <x:row r="29">
      <x:c r="A29" s="11" t="n">
        <x:v>28</x:v>
      </x:c>
      <x:c r="B29" s="11" t="str">
        <x:v>2026-08-08</x:v>
      </x:c>
      <x:c r="C29" s="11" t="str">
        <x:v>L4</x:v>
      </x:c>
      <x:c r="D29" s="11" t="str">
        <x:v>Etiquetado</x:v>
      </x:c>
      <x:c r="E29" s="11" t="str">
        <x:v>Color</x:v>
      </x:c>
      <x:c r="F29" s="11" t="str">
        <x:v>Media</x:v>
      </x:c>
      <x:c r="G29" s="11" t="n">
        <x:v>26</x:v>
      </x:c>
      <x:c r="H29" s="11" t="str">
        <x:v>Cambio de lote</x:v>
      </x:c>
      <x:c r="I29" s="11" t="str">
        <x:v>Cerrada</x:v>
      </x:c>
    </x:row>
    <x:row r="30">
      <x:c r="A30" s="11" t="n">
        <x:v>29</x:v>
      </x:c>
      <x:c r="B30" s="11" t="str">
        <x:v>2026-08-08</x:v>
      </x:c>
      <x:c r="C30" s="11" t="str">
        <x:v>L4</x:v>
      </x:c>
      <x:c r="D30" s="11" t="str">
        <x:v>Etiquetado</x:v>
      </x:c>
      <x:c r="E30" s="11" t="str">
        <x:v>Color</x:v>
      </x:c>
      <x:c r="F30" s="11" t="str">
        <x:v>Media</x:v>
      </x:c>
      <x:c r="G30" s="11" t="n">
        <x:v>117</x:v>
      </x:c>
      <x:c r="H30" s="11" t="str">
        <x:v>Inspección adicional</x:v>
      </x:c>
      <x:c r="I30" s="11" t="str">
        <x:v>En seguimiento</x:v>
      </x:c>
    </x:row>
    <x:row r="31">
      <x:c r="A31" s="11" t="n">
        <x:v>30</x:v>
      </x:c>
      <x:c r="B31" s="11" t="str">
        <x:v>2026-08-10</x:v>
      </x:c>
      <x:c r="C31" s="11" t="str">
        <x:v>L2</x:v>
      </x:c>
      <x:c r="D31" s="11" t="str">
        <x:v>Envasado B</x:v>
      </x:c>
      <x:c r="E31" s="11" t="str">
        <x:v>Contaminación visual</x:v>
      </x:c>
      <x:c r="F31" s="11" t="str">
        <x:v>Media</x:v>
      </x:c>
      <x:c r="G31" s="11" t="n">
        <x:v>83</x:v>
      </x:c>
      <x:c r="H31" s="11" t="str">
        <x:v>Ajuste de parámetros</x:v>
      </x:c>
      <x:c r="I31" s="11" t="str">
        <x:v>Cerrada</x:v>
      </x:c>
    </x:row>
    <x:row r="32">
      <x:c r="A32" s="11" t="n">
        <x:v>31</x:v>
      </x:c>
      <x:c r="B32" s="11" t="str">
        <x:v>2026-08-11</x:v>
      </x:c>
      <x:c r="C32" s="11" t="str">
        <x:v>L3</x:v>
      </x:c>
      <x:c r="D32" s="11" t="str">
        <x:v>Empaque</x:v>
      </x:c>
      <x:c r="E32" s="11" t="str">
        <x:v>Dimensión</x:v>
      </x:c>
      <x:c r="F32" s="11" t="str">
        <x:v>Media</x:v>
      </x:c>
      <x:c r="G32" s="11" t="n">
        <x:v>112</x:v>
      </x:c>
      <x:c r="H32" s="11" t="str">
        <x:v>Inspección adicional</x:v>
      </x:c>
      <x:c r="I32" s="11" t="str">
        <x:v>En seguimiento</x:v>
      </x:c>
    </x:row>
    <x:row r="33">
      <x:c r="A33" s="11" t="n">
        <x:v>32</x:v>
      </x:c>
      <x:c r="B33" s="11" t="str">
        <x:v>2026-08-11</x:v>
      </x:c>
      <x:c r="C33" s="11" t="str">
        <x:v>L4</x:v>
      </x:c>
      <x:c r="D33" s="11" t="str">
        <x:v>Etiquetado</x:v>
      </x:c>
      <x:c r="E33" s="11" t="str">
        <x:v>Contaminación visual</x:v>
      </x:c>
      <x:c r="F33" s="11" t="str">
        <x:v>Media</x:v>
      </x:c>
      <x:c r="G33" s="11" t="n">
        <x:v>88</x:v>
      </x:c>
      <x:c r="H33" s="11" t="str">
        <x:v>Ajuste mecánico</x:v>
      </x:c>
      <x:c r="I33" s="11" t="str">
        <x:v>Cerrada</x:v>
      </x:c>
    </x:row>
    <x:row r="34">
      <x:c r="A34" s="11" t="n">
        <x:v>33</x:v>
      </x:c>
      <x:c r="B34" s="11" t="str">
        <x:v>2026-08-12</x:v>
      </x:c>
      <x:c r="C34" s="11" t="str">
        <x:v>L1</x:v>
      </x:c>
      <x:c r="D34" s="11" t="str">
        <x:v>Envasado A</x:v>
      </x:c>
      <x:c r="E34" s="11" t="str">
        <x:v>Etiqueta</x:v>
      </x:c>
      <x:c r="F34" s="11" t="str">
        <x:v>Media</x:v>
      </x:c>
      <x:c r="G34" s="11" t="n">
        <x:v>89</x:v>
      </x:c>
      <x:c r="H34" s="11" t="str">
        <x:v>Ajuste mecánico</x:v>
      </x:c>
      <x:c r="I34" s="11" t="str">
        <x:v>En seguimiento</x:v>
      </x:c>
    </x:row>
    <x:row r="35">
      <x:c r="A35" s="11" t="n">
        <x:v>34</x:v>
      </x:c>
      <x:c r="B35" s="11" t="str">
        <x:v>2026-08-12</x:v>
      </x:c>
      <x:c r="C35" s="11" t="str">
        <x:v>L4</x:v>
      </x:c>
      <x:c r="D35" s="11" t="str">
        <x:v>Etiquetado</x:v>
      </x:c>
      <x:c r="E35" s="11" t="str">
        <x:v>Color</x:v>
      </x:c>
      <x:c r="F35" s="11" t="str">
        <x:v>Media</x:v>
      </x:c>
      <x:c r="G35" s="11" t="n">
        <x:v>105</x:v>
      </x:c>
      <x:c r="H35" s="11" t="str">
        <x:v>Ajuste de parámetros</x:v>
      </x:c>
      <x:c r="I35" s="11" t="str">
        <x:v>En seguimiento</x:v>
      </x:c>
    </x:row>
    <x:row r="36">
      <x:c r="A36" s="11" t="n">
        <x:v>35</x:v>
      </x:c>
      <x:c r="B36" s="11" t="str">
        <x:v>2026-08-13</x:v>
      </x:c>
      <x:c r="C36" s="11" t="str">
        <x:v>L2</x:v>
      </x:c>
      <x:c r="D36" s="11" t="str">
        <x:v>Envasado B</x:v>
      </x:c>
      <x:c r="E36" s="11" t="str">
        <x:v>Color</x:v>
      </x:c>
      <x:c r="F36" s="11" t="str">
        <x:v>Baja</x:v>
      </x:c>
      <x:c r="G36" s="11" t="n">
        <x:v>89</x:v>
      </x:c>
      <x:c r="H36" s="11" t="str">
        <x:v>Ajuste mecánico</x:v>
      </x:c>
      <x:c r="I36" s="11" t="str">
        <x:v>Cerrada</x:v>
      </x:c>
    </x:row>
    <x:row r="37">
      <x:c r="A37" s="11" t="n">
        <x:v>36</x:v>
      </x:c>
      <x:c r="B37" s="11" t="str">
        <x:v>2026-08-14</x:v>
      </x:c>
      <x:c r="C37" s="11" t="str">
        <x:v>L3</x:v>
      </x:c>
      <x:c r="D37" s="11" t="str">
        <x:v>Empaque</x:v>
      </x:c>
      <x:c r="E37" s="11" t="str">
        <x:v>Sellado</x:v>
      </x:c>
      <x:c r="F37" s="11" t="str">
        <x:v>Media</x:v>
      </x:c>
      <x:c r="G37" s="11" t="n">
        <x:v>31</x:v>
      </x:c>
      <x:c r="H37" s="11" t="str">
        <x:v>Ajuste mecánico</x:v>
      </x:c>
      <x:c r="I37" s="11" t="str">
        <x:v>Cerrada</x:v>
      </x:c>
    </x:row>
    <x:row r="38">
      <x:c r="A38" s="11" t="n">
        <x:v>37</x:v>
      </x:c>
      <x:c r="B38" s="11" t="str">
        <x:v>2026-08-14</x:v>
      </x:c>
      <x:c r="C38" s="11" t="str">
        <x:v>L1</x:v>
      </x:c>
      <x:c r="D38" s="11" t="str">
        <x:v>Envasado A</x:v>
      </x:c>
      <x:c r="E38" s="11" t="str">
        <x:v>Contaminación visual</x:v>
      </x:c>
      <x:c r="F38" s="11" t="str">
        <x:v>Alta</x:v>
      </x:c>
      <x:c r="G38" s="11" t="n">
        <x:v>11</x:v>
      </x:c>
      <x:c r="H38" s="11" t="str">
        <x:v>Reentrenamiento</x:v>
      </x:c>
      <x:c r="I38" s="11" t="str">
        <x:v>Cerrada</x:v>
      </x:c>
    </x:row>
    <x:row r="39">
      <x:c r="A39" s="11" t="n">
        <x:v>38</x:v>
      </x:c>
      <x:c r="B39" s="11" t="str">
        <x:v>2026-08-16</x:v>
      </x:c>
      <x:c r="C39" s="11" t="str">
        <x:v>L3</x:v>
      </x:c>
      <x:c r="D39" s="11" t="str">
        <x:v>Empaque</x:v>
      </x:c>
      <x:c r="E39" s="11" t="str">
        <x:v>Etiqueta</x:v>
      </x:c>
      <x:c r="F39" s="11" t="str">
        <x:v>Media</x:v>
      </x:c>
      <x:c r="G39" s="11" t="n">
        <x:v>79</x:v>
      </x:c>
      <x:c r="H39" s="11" t="str">
        <x:v>Ajuste mecánico</x:v>
      </x:c>
      <x:c r="I39" s="11" t="str">
        <x:v>Cerrada</x:v>
      </x:c>
    </x:row>
    <x:row r="40">
      <x:c r="A40" s="11" t="n">
        <x:v>39</x:v>
      </x:c>
      <x:c r="B40" s="11" t="str">
        <x:v>2026-08-17</x:v>
      </x:c>
      <x:c r="C40" s="11" t="str">
        <x:v>L1</x:v>
      </x:c>
      <x:c r="D40" s="11" t="str">
        <x:v>Envasado A</x:v>
      </x:c>
      <x:c r="E40" s="11" t="str">
        <x:v>Dimensión</x:v>
      </x:c>
      <x:c r="F40" s="11" t="str">
        <x:v>Baja</x:v>
      </x:c>
      <x:c r="G40" s="11" t="n">
        <x:v>48</x:v>
      </x:c>
      <x:c r="H40" s="11" t="str">
        <x:v>Cambio de lote</x:v>
      </x:c>
      <x:c r="I40" s="11" t="str">
        <x:v>Cerrada</x:v>
      </x:c>
    </x:row>
    <x:row r="41">
      <x:c r="A41" s="11" t="n">
        <x:v>40</x:v>
      </x:c>
      <x:c r="B41" s="11" t="str">
        <x:v>2026-08-18</x:v>
      </x:c>
      <x:c r="C41" s="11" t="str">
        <x:v>L2</x:v>
      </x:c>
      <x:c r="D41" s="11" t="str">
        <x:v>Envasado B</x:v>
      </x:c>
      <x:c r="E41" s="11" t="str">
        <x:v>Sellado</x:v>
      </x:c>
      <x:c r="F41" s="11" t="str">
        <x:v>Media</x:v>
      </x:c>
      <x:c r="G41" s="11" t="n">
        <x:v>142</x:v>
      </x:c>
      <x:c r="H41" s="11" t="str">
        <x:v>Inspección adicional</x:v>
      </x:c>
      <x:c r="I41" s="11" t="str">
        <x:v>Cerrada</x:v>
      </x:c>
    </x:row>
    <x:row r="42">
      <x:c r="A42" s="11" t="n">
        <x:v>41</x:v>
      </x:c>
      <x:c r="B42" s="11" t="str">
        <x:v>2026-08-19</x:v>
      </x:c>
      <x:c r="C42" s="11" t="str">
        <x:v>L1</x:v>
      </x:c>
      <x:c r="D42" s="11" t="str">
        <x:v>Envasado A</x:v>
      </x:c>
      <x:c r="E42" s="11" t="str">
        <x:v>Color</x:v>
      </x:c>
      <x:c r="F42" s="11" t="str">
        <x:v>Media</x:v>
      </x:c>
      <x:c r="G42" s="11" t="n">
        <x:v>38</x:v>
      </x:c>
      <x:c r="H42" s="11" t="str">
        <x:v>Reentrenamiento</x:v>
      </x:c>
      <x:c r="I42" s="11" t="str">
        <x:v>Cerrada</x:v>
      </x:c>
    </x:row>
    <x:row r="43">
      <x:c r="A43" s="11" t="n">
        <x:v>42</x:v>
      </x:c>
      <x:c r="B43" s="11" t="str">
        <x:v>2026-08-19</x:v>
      </x:c>
      <x:c r="C43" s="11" t="str">
        <x:v>L4</x:v>
      </x:c>
      <x:c r="D43" s="11" t="str">
        <x:v>Etiquetado</x:v>
      </x:c>
      <x:c r="E43" s="11" t="str">
        <x:v>Color</x:v>
      </x:c>
      <x:c r="F43" s="11" t="str">
        <x:v>Media</x:v>
      </x:c>
      <x:c r="G43" s="11" t="n">
        <x:v>159</x:v>
      </x:c>
      <x:c r="H43" s="11" t="str">
        <x:v>Ajuste mecánico</x:v>
      </x:c>
      <x:c r="I43" s="11" t="str">
        <x:v>Cerrada</x:v>
      </x:c>
    </x:row>
    <x:row r="44">
      <x:c r="A44" s="11" t="n">
        <x:v>43</x:v>
      </x:c>
      <x:c r="B44" s="11" t="str">
        <x:v>2026-08-20</x:v>
      </x:c>
      <x:c r="C44" s="11" t="str">
        <x:v>L2</x:v>
      </x:c>
      <x:c r="D44" s="11" t="str">
        <x:v>Envasado B</x:v>
      </x:c>
      <x:c r="E44" s="11" t="str">
        <x:v>Contaminación visual</x:v>
      </x:c>
      <x:c r="F44" s="11" t="str">
        <x:v>Alta</x:v>
      </x:c>
      <x:c r="G44" s="11" t="n">
        <x:v>75</x:v>
      </x:c>
      <x:c r="H44" s="11" t="str">
        <x:v>Reentrenamiento</x:v>
      </x:c>
      <x:c r="I44" s="11" t="str">
        <x:v>Cerrada</x:v>
      </x:c>
    </x:row>
    <x:row r="45">
      <x:c r="A45" s="11" t="n">
        <x:v>44</x:v>
      </x:c>
      <x:c r="B45" s="11" t="str">
        <x:v>2026-08-20</x:v>
      </x:c>
      <x:c r="C45" s="11" t="str">
        <x:v>L2</x:v>
      </x:c>
      <x:c r="D45" s="11" t="str">
        <x:v>Envasado B</x:v>
      </x:c>
      <x:c r="E45" s="11" t="str">
        <x:v>Color</x:v>
      </x:c>
      <x:c r="F45" s="11" t="str">
        <x:v>Baja</x:v>
      </x:c>
      <x:c r="G45" s="11" t="n">
        <x:v>107</x:v>
      </x:c>
      <x:c r="H45" s="11" t="str">
        <x:v>Ajuste mecánico</x:v>
      </x:c>
      <x:c r="I45" s="11" t="str">
        <x:v>Cerrada</x:v>
      </x:c>
    </x:row>
    <x:row r="46">
      <x:c r="A46" s="11" t="n">
        <x:v>45</x:v>
      </x:c>
      <x:c r="B46" s="11" t="str">
        <x:v>2026-08-21</x:v>
      </x:c>
      <x:c r="C46" s="11" t="str">
        <x:v>L3</x:v>
      </x:c>
      <x:c r="D46" s="11" t="str">
        <x:v>Empaque</x:v>
      </x:c>
      <x:c r="E46" s="11" t="str">
        <x:v>Contaminación visual</x:v>
      </x:c>
      <x:c r="F46" s="11" t="str">
        <x:v>Alta</x:v>
      </x:c>
      <x:c r="G46" s="11" t="n">
        <x:v>122</x:v>
      </x:c>
      <x:c r="H46" s="11" t="str">
        <x:v>Inspección adicional</x:v>
      </x:c>
      <x:c r="I46" s="11" t="str">
        <x:v>En seguimiento</x:v>
      </x:c>
    </x:row>
    <x:row r="47">
      <x:c r="A47" s="11" t="n">
        <x:v>46</x:v>
      </x:c>
      <x:c r="B47" s="11" t="str">
        <x:v>2026-08-21</x:v>
      </x:c>
      <x:c r="C47" s="11" t="str">
        <x:v>L1</x:v>
      </x:c>
      <x:c r="D47" s="11" t="str">
        <x:v>Envasado A</x:v>
      </x:c>
      <x:c r="E47" s="11" t="str">
        <x:v>Sellado</x:v>
      </x:c>
      <x:c r="F47" s="11" t="str">
        <x:v>Media</x:v>
      </x:c>
      <x:c r="G47" s="11" t="n">
        <x:v>170</x:v>
      </x:c>
      <x:c r="H47" s="11" t="str">
        <x:v>Inspección adicional</x:v>
      </x:c>
      <x:c r="I47" s="11" t="str">
        <x:v>Cerrada</x:v>
      </x:c>
    </x:row>
    <x:row r="48">
      <x:c r="A48" s="11" t="n">
        <x:v>47</x:v>
      </x:c>
      <x:c r="B48" s="11" t="str">
        <x:v>2026-08-22</x:v>
      </x:c>
      <x:c r="C48" s="11" t="str">
        <x:v>L3</x:v>
      </x:c>
      <x:c r="D48" s="11" t="str">
        <x:v>Empaque</x:v>
      </x:c>
      <x:c r="E48" s="11" t="str">
        <x:v>Color</x:v>
      </x:c>
      <x:c r="F48" s="11" t="str">
        <x:v>Media</x:v>
      </x:c>
      <x:c r="G48" s="11" t="n">
        <x:v>111</x:v>
      </x:c>
      <x:c r="H48" s="11" t="str">
        <x:v>Reentrenamiento</x:v>
      </x:c>
      <x:c r="I48" s="11" t="str">
        <x:v>Cerrada</x:v>
      </x:c>
    </x:row>
    <x:row r="49">
      <x:c r="A49" s="11" t="n">
        <x:v>48</x:v>
      </x:c>
      <x:c r="B49" s="11" t="str">
        <x:v>2026-08-22</x:v>
      </x:c>
      <x:c r="C49" s="11" t="str">
        <x:v>L4</x:v>
      </x:c>
      <x:c r="D49" s="11" t="str">
        <x:v>Etiquetado</x:v>
      </x:c>
      <x:c r="E49" s="11" t="str">
        <x:v>Color</x:v>
      </x:c>
      <x:c r="F49" s="11" t="str">
        <x:v>Alta</x:v>
      </x:c>
      <x:c r="G49" s="11" t="n">
        <x:v>173</x:v>
      </x:c>
      <x:c r="H49" s="11" t="str">
        <x:v>Reentrenamiento</x:v>
      </x:c>
      <x:c r="I49" s="11" t="str">
        <x:v>En seguimiento</x:v>
      </x:c>
    </x:row>
    <x:row r="50">
      <x:c r="A50" s="11" t="n">
        <x:v>49</x:v>
      </x:c>
      <x:c r="B50" s="11" t="str">
        <x:v>2026-08-23</x:v>
      </x:c>
      <x:c r="C50" s="11" t="str">
        <x:v>L1</x:v>
      </x:c>
      <x:c r="D50" s="11" t="str">
        <x:v>Envasado A</x:v>
      </x:c>
      <x:c r="E50" s="11" t="str">
        <x:v>Color</x:v>
      </x:c>
      <x:c r="F50" s="11" t="str">
        <x:v>Baja</x:v>
      </x:c>
      <x:c r="G50" s="11" t="n">
        <x:v>66</x:v>
      </x:c>
      <x:c r="H50" s="11" t="str">
        <x:v>Reentrenamiento</x:v>
      </x:c>
      <x:c r="I50" s="11" t="str">
        <x:v>Cerrada</x:v>
      </x:c>
    </x:row>
    <x:row r="51">
      <x:c r="A51" s="11" t="n">
        <x:v>50</x:v>
      </x:c>
      <x:c r="B51" s="11" t="str">
        <x:v>2026-08-23</x:v>
      </x:c>
      <x:c r="C51" s="11" t="str">
        <x:v>L3</x:v>
      </x:c>
      <x:c r="D51" s="11" t="str">
        <x:v>Empaque</x:v>
      </x:c>
      <x:c r="E51" s="11" t="str">
        <x:v>Sellado</x:v>
      </x:c>
      <x:c r="F51" s="11" t="str">
        <x:v>Media</x:v>
      </x:c>
      <x:c r="G51" s="11" t="n">
        <x:v>131</x:v>
      </x:c>
      <x:c r="H51" s="11" t="str">
        <x:v>Inspección adicional</x:v>
      </x:c>
      <x:c r="I51" s="11" t="str">
        <x:v>En seguimiento</x:v>
      </x:c>
    </x:row>
    <x:row r="52">
      <x:c r="A52" s="11" t="n">
        <x:v>51</x:v>
      </x:c>
      <x:c r="B52" s="11" t="str">
        <x:v>2026-08-25</x:v>
      </x:c>
      <x:c r="C52" s="11" t="str">
        <x:v>L1</x:v>
      </x:c>
      <x:c r="D52" s="11" t="str">
        <x:v>Envasado A</x:v>
      </x:c>
      <x:c r="E52" s="11" t="str">
        <x:v>Sellado</x:v>
      </x:c>
      <x:c r="F52" s="11" t="str">
        <x:v>Media</x:v>
      </x:c>
      <x:c r="G52" s="11" t="n">
        <x:v>109</x:v>
      </x:c>
      <x:c r="H52" s="11" t="str">
        <x:v>Inspección adicional</x:v>
      </x:c>
      <x:c r="I52" s="11" t="str">
        <x:v>Cerrada</x:v>
      </x:c>
    </x:row>
    <x:row r="53">
      <x:c r="A53" s="11" t="n">
        <x:v>52</x:v>
      </x:c>
      <x:c r="B53" s="11" t="str">
        <x:v>2026-08-26</x:v>
      </x:c>
      <x:c r="C53" s="11" t="str">
        <x:v>L2</x:v>
      </x:c>
      <x:c r="D53" s="11" t="str">
        <x:v>Envasado B</x:v>
      </x:c>
      <x:c r="E53" s="11" t="str">
        <x:v>Contaminación visual</x:v>
      </x:c>
      <x:c r="F53" s="11" t="str">
        <x:v>Baja</x:v>
      </x:c>
      <x:c r="G53" s="11" t="n">
        <x:v>123</x:v>
      </x:c>
      <x:c r="H53" s="11" t="str">
        <x:v>Ajuste de parámetros</x:v>
      </x:c>
      <x:c r="I53" s="11" t="str">
        <x:v>Cerrada</x:v>
      </x:c>
    </x:row>
    <x:row r="54">
      <x:c r="A54" s="11" t="n">
        <x:v>53</x:v>
      </x:c>
      <x:c r="B54" s="11" t="str">
        <x:v>2026-08-27</x:v>
      </x:c>
      <x:c r="C54" s="11" t="str">
        <x:v>L4</x:v>
      </x:c>
      <x:c r="D54" s="11" t="str">
        <x:v>Etiquetado</x:v>
      </x:c>
      <x:c r="E54" s="11" t="str">
        <x:v>Color</x:v>
      </x:c>
      <x:c r="F54" s="11" t="str">
        <x:v>Media</x:v>
      </x:c>
      <x:c r="G54" s="11" t="n">
        <x:v>107</x:v>
      </x:c>
      <x:c r="H54" s="11" t="str">
        <x:v>Reentrenamiento</x:v>
      </x:c>
      <x:c r="I54" s="11" t="str">
        <x:v>Cerrada</x:v>
      </x:c>
    </x:row>
    <x:row r="55">
      <x:c r="A55" s="11" t="n">
        <x:v>54</x:v>
      </x:c>
      <x:c r="B55" s="11" t="str">
        <x:v>2026-08-27</x:v>
      </x:c>
      <x:c r="C55" s="11" t="str">
        <x:v>L1</x:v>
      </x:c>
      <x:c r="D55" s="11" t="str">
        <x:v>Envasado A</x:v>
      </x:c>
      <x:c r="E55" s="11" t="str">
        <x:v>Sellado</x:v>
      </x:c>
      <x:c r="F55" s="11" t="str">
        <x:v>Media</x:v>
      </x:c>
      <x:c r="G55" s="11" t="n">
        <x:v>34</x:v>
      </x:c>
      <x:c r="H55" s="11" t="str">
        <x:v>Reentrenamiento</x:v>
      </x:c>
      <x:c r="I55" s="11" t="str">
        <x:v>Cerrada</x:v>
      </x:c>
    </x:row>
    <x:row r="56">
      <x:c r="A56" s="11" t="n">
        <x:v>55</x:v>
      </x:c>
      <x:c r="B56" s="11" t="str">
        <x:v>2026-08-28</x:v>
      </x:c>
      <x:c r="C56" s="11" t="str">
        <x:v>L4</x:v>
      </x:c>
      <x:c r="D56" s="11" t="str">
        <x:v>Etiquetado</x:v>
      </x:c>
      <x:c r="E56" s="11" t="str">
        <x:v>Color</x:v>
      </x:c>
      <x:c r="F56" s="11" t="str">
        <x:v>Alta</x:v>
      </x:c>
      <x:c r="G56" s="11" t="n">
        <x:v>22</x:v>
      </x:c>
      <x:c r="H56" s="11" t="str">
        <x:v>Ajuste de parámetros</x:v>
      </x:c>
      <x:c r="I56" s="11" t="str">
        <x:v>En seguimiento</x:v>
      </x:c>
    </x:row>
    <x:row r="57">
      <x:c r="A57" s="11" t="n">
        <x:v>56</x:v>
      </x:c>
      <x:c r="B57" s="11" t="str">
        <x:v>2026-08-28</x:v>
      </x:c>
      <x:c r="C57" s="11" t="str">
        <x:v>L2</x:v>
      </x:c>
      <x:c r="D57" s="11" t="str">
        <x:v>Envasado B</x:v>
      </x:c>
      <x:c r="E57" s="11" t="str">
        <x:v>Color</x:v>
      </x:c>
      <x:c r="F57" s="11" t="str">
        <x:v>Media</x:v>
      </x:c>
      <x:c r="G57" s="11" t="n">
        <x:v>125</x:v>
      </x:c>
      <x:c r="H57" s="11" t="str">
        <x:v>Cambio de lote</x:v>
      </x:c>
      <x:c r="I57" s="11" t="str">
        <x:v>Cerrada</x:v>
      </x:c>
    </x:row>
    <x:row r="58">
      <x:c r="A58" s="11" t="n">
        <x:v>57</x:v>
      </x:c>
      <x:c r="B58" s="11" t="str">
        <x:v>2026-08-31</x:v>
      </x:c>
      <x:c r="C58" s="11" t="str">
        <x:v>L1</x:v>
      </x:c>
      <x:c r="D58" s="11" t="str">
        <x:v>Envasado A</x:v>
      </x:c>
      <x:c r="E58" s="11" t="str">
        <x:v>Etiqueta</x:v>
      </x:c>
      <x:c r="F58" s="11" t="str">
        <x:v>Media</x:v>
      </x:c>
      <x:c r="G58" s="11" t="n">
        <x:v>36</x:v>
      </x:c>
      <x:c r="H58" s="11" t="str">
        <x:v>Ajuste mecánico</x:v>
      </x:c>
      <x:c r="I58" s="11" t="str">
        <x:v>En seguimiento</x:v>
      </x:c>
    </x:row>
    <x:row r="59">
      <x:c r="A59" s="11" t="n">
        <x:v>58</x:v>
      </x:c>
      <x:c r="B59" s="11" t="str">
        <x:v>2026-08-31</x:v>
      </x:c>
      <x:c r="C59" s="11" t="str">
        <x:v>L4</x:v>
      </x:c>
      <x:c r="D59" s="11" t="str">
        <x:v>Etiquetado</x:v>
      </x:c>
      <x:c r="E59" s="11" t="str">
        <x:v>Etiqueta</x:v>
      </x:c>
      <x:c r="F59" s="11" t="str">
        <x:v>Baja</x:v>
      </x:c>
      <x:c r="G59" s="11" t="n">
        <x:v>176</x:v>
      </x:c>
      <x:c r="H59" s="11" t="str">
        <x:v>Ajuste de parámetros</x:v>
      </x:c>
      <x:c r="I59" s="11" t="str">
        <x:v>En seguimiento</x:v>
      </x:c>
    </x:row>
    <x:row r="60">
      <x:c r="A60" s="11" t="n">
        <x:v>59</x:v>
      </x:c>
      <x:c r="B60" s="11" t="str">
        <x:v>2026-09-01</x:v>
      </x:c>
      <x:c r="C60" s="11" t="str">
        <x:v>L2</x:v>
      </x:c>
      <x:c r="D60" s="11" t="str">
        <x:v>Envasado B</x:v>
      </x:c>
      <x:c r="E60" s="11" t="str">
        <x:v>Color</x:v>
      </x:c>
      <x:c r="F60" s="11" t="str">
        <x:v>Media</x:v>
      </x:c>
      <x:c r="G60" s="11" t="n">
        <x:v>50</x:v>
      </x:c>
      <x:c r="H60" s="11" t="str">
        <x:v>Reentrenamiento</x:v>
      </x:c>
      <x:c r="I60" s="11" t="str">
        <x:v>En seguimiento</x:v>
      </x:c>
    </x:row>
    <x:row r="61">
      <x:c r="A61" s="11" t="n">
        <x:v>60</x:v>
      </x:c>
      <x:c r="B61" s="11" t="str">
        <x:v>2026-09-03</x:v>
      </x:c>
      <x:c r="C61" s="11" t="str">
        <x:v>L2</x:v>
      </x:c>
      <x:c r="D61" s="11" t="str">
        <x:v>Envasado B</x:v>
      </x:c>
      <x:c r="E61" s="11" t="str">
        <x:v>Color</x:v>
      </x:c>
      <x:c r="F61" s="11" t="str">
        <x:v>Baja</x:v>
      </x:c>
      <x:c r="G61" s="11" t="n">
        <x:v>167</x:v>
      </x:c>
      <x:c r="H61" s="11" t="str">
        <x:v>Ajuste mecánico</x:v>
      </x:c>
      <x:c r="I61" s="11" t="str">
        <x:v>En seguimiento</x:v>
      </x:c>
    </x:row>
    <x:row r="62">
      <x:c r="A62" s="11" t="n">
        <x:v>61</x:v>
      </x:c>
      <x:c r="B62" s="11" t="str">
        <x:v>2026-09-03</x:v>
      </x:c>
      <x:c r="C62" s="11" t="str">
        <x:v>L1</x:v>
      </x:c>
      <x:c r="D62" s="11" t="str">
        <x:v>Envasado A</x:v>
      </x:c>
      <x:c r="E62" s="11" t="str">
        <x:v>Color</x:v>
      </x:c>
      <x:c r="F62" s="11" t="str">
        <x:v>Media</x:v>
      </x:c>
      <x:c r="G62" s="11" t="n">
        <x:v>118</x:v>
      </x:c>
      <x:c r="H62" s="11" t="str">
        <x:v>Ajuste de parámetros</x:v>
      </x:c>
      <x:c r="I62" s="11" t="str">
        <x:v>En seguimiento</x:v>
      </x:c>
    </x:row>
    <x:row r="63">
      <x:c r="A63" s="11" t="n">
        <x:v>62</x:v>
      </x:c>
      <x:c r="B63" s="11" t="str">
        <x:v>2026-09-06</x:v>
      </x:c>
      <x:c r="C63" s="11" t="str">
        <x:v>L2</x:v>
      </x:c>
      <x:c r="D63" s="11" t="str">
        <x:v>Envasado B</x:v>
      </x:c>
      <x:c r="E63" s="11" t="str">
        <x:v>Etiqueta</x:v>
      </x:c>
      <x:c r="F63" s="11" t="str">
        <x:v>Media</x:v>
      </x:c>
      <x:c r="G63" s="11" t="n">
        <x:v>66</x:v>
      </x:c>
      <x:c r="H63" s="11" t="str">
        <x:v>Reentrenamiento</x:v>
      </x:c>
      <x:c r="I63" s="11" t="str">
        <x:v>Cerrada</x:v>
      </x:c>
    </x:row>
    <x:row r="64">
      <x:c r="A64" s="11" t="n">
        <x:v>63</x:v>
      </x:c>
      <x:c r="B64" s="11" t="str">
        <x:v>2026-09-08</x:v>
      </x:c>
      <x:c r="C64" s="11" t="str">
        <x:v>L1</x:v>
      </x:c>
      <x:c r="D64" s="11" t="str">
        <x:v>Envasado A</x:v>
      </x:c>
      <x:c r="E64" s="11" t="str">
        <x:v>Sellado</x:v>
      </x:c>
      <x:c r="F64" s="11" t="str">
        <x:v>Media</x:v>
      </x:c>
      <x:c r="G64" s="11" t="n">
        <x:v>54</x:v>
      </x:c>
      <x:c r="H64" s="11" t="str">
        <x:v>Ajuste de parámetros</x:v>
      </x:c>
      <x:c r="I64" s="11" t="str">
        <x:v>Cerrada</x:v>
      </x:c>
    </x:row>
    <x:row r="65">
      <x:c r="A65" s="11" t="n">
        <x:v>64</x:v>
      </x:c>
      <x:c r="B65" s="11" t="str">
        <x:v>2026-09-10</x:v>
      </x:c>
      <x:c r="C65" s="11" t="str">
        <x:v>L2</x:v>
      </x:c>
      <x:c r="D65" s="11" t="str">
        <x:v>Envasado B</x:v>
      </x:c>
      <x:c r="E65" s="11" t="str">
        <x:v>Etiqueta</x:v>
      </x:c>
      <x:c r="F65" s="11" t="str">
        <x:v>Baja</x:v>
      </x:c>
      <x:c r="G65" s="11" t="n">
        <x:v>111</x:v>
      </x:c>
      <x:c r="H65" s="11" t="str">
        <x:v>Ajuste mecánico</x:v>
      </x:c>
      <x:c r="I65" s="11" t="str">
        <x:v>Cerrada</x:v>
      </x:c>
    </x:row>
    <x:row r="66">
      <x:c r="A66" s="11" t="n">
        <x:v>65</x:v>
      </x:c>
      <x:c r="B66" s="11" t="str">
        <x:v>2026-09-10</x:v>
      </x:c>
      <x:c r="C66" s="11" t="str">
        <x:v>L3</x:v>
      </x:c>
      <x:c r="D66" s="11" t="str">
        <x:v>Empaque</x:v>
      </x:c>
      <x:c r="E66" s="11" t="str">
        <x:v>Dimensión</x:v>
      </x:c>
      <x:c r="F66" s="11" t="str">
        <x:v>Media</x:v>
      </x:c>
      <x:c r="G66" s="11" t="n">
        <x:v>164</x:v>
      </x:c>
      <x:c r="H66" s="11" t="str">
        <x:v>Reentrenamiento</x:v>
      </x:c>
      <x:c r="I66" s="11" t="str">
        <x:v>En seguimiento</x:v>
      </x:c>
    </x:row>
    <x:row r="67">
      <x:c r="A67" s="11" t="n">
        <x:v>66</x:v>
      </x:c>
      <x:c r="B67" s="11" t="str">
        <x:v>2026-09-11</x:v>
      </x:c>
      <x:c r="C67" s="11" t="str">
        <x:v>L4</x:v>
      </x:c>
      <x:c r="D67" s="11" t="str">
        <x:v>Etiquetado</x:v>
      </x:c>
      <x:c r="E67" s="11" t="str">
        <x:v>Sellado</x:v>
      </x:c>
      <x:c r="F67" s="11" t="str">
        <x:v>Media</x:v>
      </x:c>
      <x:c r="G67" s="11" t="n">
        <x:v>59</x:v>
      </x:c>
      <x:c r="H67" s="11" t="str">
        <x:v>Ajuste de parámetros</x:v>
      </x:c>
      <x:c r="I67" s="11" t="str">
        <x:v>Cerrada</x:v>
      </x:c>
    </x:row>
    <x:row r="68">
      <x:c r="A68" s="11" t="n">
        <x:v>67</x:v>
      </x:c>
      <x:c r="B68" s="11" t="str">
        <x:v>2026-09-12</x:v>
      </x:c>
      <x:c r="C68" s="11" t="str">
        <x:v>L2</x:v>
      </x:c>
      <x:c r="D68" s="11" t="str">
        <x:v>Envasado B</x:v>
      </x:c>
      <x:c r="E68" s="11" t="str">
        <x:v>Sellado</x:v>
      </x:c>
      <x:c r="F68" s="11" t="str">
        <x:v>Alta</x:v>
      </x:c>
      <x:c r="G68" s="11" t="n">
        <x:v>172</x:v>
      </x:c>
      <x:c r="H68" s="11" t="str">
        <x:v>Cambio de lote</x:v>
      </x:c>
      <x:c r="I68" s="11" t="str">
        <x:v>Cerrada</x:v>
      </x:c>
    </x:row>
    <x:row r="69">
      <x:c r="A69" s="11" t="n">
        <x:v>68</x:v>
      </x:c>
      <x:c r="B69" s="11" t="str">
        <x:v>2026-09-13</x:v>
      </x:c>
      <x:c r="C69" s="11" t="str">
        <x:v>L2</x:v>
      </x:c>
      <x:c r="D69" s="11" t="str">
        <x:v>Envasado B</x:v>
      </x:c>
      <x:c r="E69" s="11" t="str">
        <x:v>Color</x:v>
      </x:c>
      <x:c r="F69" s="11" t="str">
        <x:v>Media</x:v>
      </x:c>
      <x:c r="G69" s="11" t="n">
        <x:v>21</x:v>
      </x:c>
      <x:c r="H69" s="11" t="str">
        <x:v>Cambio de lote</x:v>
      </x:c>
      <x:c r="I69" s="11" t="str">
        <x:v>En seguimiento</x:v>
      </x:c>
    </x:row>
    <x:row r="70">
      <x:c r="A70" s="11" t="n">
        <x:v>69</x:v>
      </x:c>
      <x:c r="B70" s="11" t="str">
        <x:v>2026-09-14</x:v>
      </x:c>
      <x:c r="C70" s="11" t="str">
        <x:v>L3</x:v>
      </x:c>
      <x:c r="D70" s="11" t="str">
        <x:v>Empaque</x:v>
      </x:c>
      <x:c r="E70" s="11" t="str">
        <x:v>Sellado</x:v>
      </x:c>
      <x:c r="F70" s="11" t="str">
        <x:v>Baja</x:v>
      </x:c>
      <x:c r="G70" s="11" t="n">
        <x:v>60</x:v>
      </x:c>
      <x:c r="H70" s="11" t="str">
        <x:v>Inspección adicional</x:v>
      </x:c>
      <x:c r="I70" s="11" t="str">
        <x:v>Cerrada</x:v>
      </x:c>
    </x:row>
    <x:row r="71">
      <x:c r="A71" s="11" t="n">
        <x:v>70</x:v>
      </x:c>
      <x:c r="B71" s="11" t="str">
        <x:v>2026-09-14</x:v>
      </x:c>
      <x:c r="C71" s="11" t="str">
        <x:v>L4</x:v>
      </x:c>
      <x:c r="D71" s="11" t="str">
        <x:v>Etiquetado</x:v>
      </x:c>
      <x:c r="E71" s="11" t="str">
        <x:v>Sellado</x:v>
      </x:c>
      <x:c r="F71" s="11" t="str">
        <x:v>Media</x:v>
      </x:c>
      <x:c r="G71" s="11" t="n">
        <x:v>69</x:v>
      </x:c>
      <x:c r="H71" s="11" t="str">
        <x:v>Ajuste de parámetros</x:v>
      </x:c>
      <x:c r="I71" s="11" t="str">
        <x:v>En seguimiento</x:v>
      </x:c>
    </x:row>
    <x:row r="72">
      <x:c r="A72" s="11" t="n">
        <x:v>71</x:v>
      </x:c>
      <x:c r="B72" s="11" t="str">
        <x:v>2026-09-15</x:v>
      </x:c>
      <x:c r="C72" s="11" t="str">
        <x:v>L4</x:v>
      </x:c>
      <x:c r="D72" s="11" t="str">
        <x:v>Etiquetado</x:v>
      </x:c>
      <x:c r="E72" s="11" t="str">
        <x:v>Etiqueta</x:v>
      </x:c>
      <x:c r="F72" s="11" t="str">
        <x:v>Media</x:v>
      </x:c>
      <x:c r="G72" s="11" t="n">
        <x:v>49</x:v>
      </x:c>
      <x:c r="H72" s="11" t="str">
        <x:v>Cambio de lote</x:v>
      </x:c>
      <x:c r="I72" s="11" t="str">
        <x:v>En seguimiento</x:v>
      </x:c>
    </x:row>
    <x:row r="73">
      <x:c r="A73" s="11" t="n">
        <x:v>72</x:v>
      </x:c>
      <x:c r="B73" s="11" t="str">
        <x:v>2026-09-16</x:v>
      </x:c>
      <x:c r="C73" s="11" t="str">
        <x:v>L1</x:v>
      </x:c>
      <x:c r="D73" s="11" t="str">
        <x:v>Envasado A</x:v>
      </x:c>
      <x:c r="E73" s="11" t="str">
        <x:v>Dimensión</x:v>
      </x:c>
      <x:c r="F73" s="11" t="str">
        <x:v>Baja</x:v>
      </x:c>
      <x:c r="G73" s="11" t="n">
        <x:v>160</x:v>
      </x:c>
      <x:c r="H73" s="11" t="str">
        <x:v>Ajuste mecánico</x:v>
      </x:c>
      <x:c r="I73" s="11" t="str">
        <x:v>Cerrada</x:v>
      </x:c>
    </x:row>
    <x:row r="74">
      <x:c r="A74" s="11" t="n">
        <x:v>73</x:v>
      </x:c>
      <x:c r="B74" s="11" t="str">
        <x:v>2026-09-17</x:v>
      </x:c>
      <x:c r="C74" s="11" t="str">
        <x:v>L2</x:v>
      </x:c>
      <x:c r="D74" s="11" t="str">
        <x:v>Envasado B</x:v>
      </x:c>
      <x:c r="E74" s="11" t="str">
        <x:v>Contaminación visual</x:v>
      </x:c>
      <x:c r="F74" s="11" t="str">
        <x:v>Baja</x:v>
      </x:c>
      <x:c r="G74" s="11" t="n">
        <x:v>64</x:v>
      </x:c>
      <x:c r="H74" s="11" t="str">
        <x:v>Ajuste de parámetros</x:v>
      </x:c>
      <x:c r="I74" s="11" t="str">
        <x:v>En seguimiento</x:v>
      </x:c>
    </x:row>
    <x:row r="75">
      <x:c r="A75" s="11" t="n">
        <x:v>74</x:v>
      </x:c>
      <x:c r="B75" s="11" t="str">
        <x:v>2026-09-19</x:v>
      </x:c>
      <x:c r="C75" s="11" t="str">
        <x:v>L2</x:v>
      </x:c>
      <x:c r="D75" s="11" t="str">
        <x:v>Envasado B</x:v>
      </x:c>
      <x:c r="E75" s="11" t="str">
        <x:v>Color</x:v>
      </x:c>
      <x:c r="F75" s="11" t="str">
        <x:v>Media</x:v>
      </x:c>
      <x:c r="G75" s="11" t="n">
        <x:v>163</x:v>
      </x:c>
      <x:c r="H75" s="11" t="str">
        <x:v>Ajuste de parámetros</x:v>
      </x:c>
      <x:c r="I75" s="11" t="str">
        <x:v>Cerrada</x:v>
      </x:c>
    </x:row>
    <x:row r="76">
      <x:c r="A76" s="11" t="n">
        <x:v>75</x:v>
      </x:c>
      <x:c r="B76" s="11" t="str">
        <x:v>2026-09-21</x:v>
      </x:c>
      <x:c r="C76" s="11" t="str">
        <x:v>L4</x:v>
      </x:c>
      <x:c r="D76" s="11" t="str">
        <x:v>Etiquetado</x:v>
      </x:c>
      <x:c r="E76" s="11" t="str">
        <x:v>Dimensión</x:v>
      </x:c>
      <x:c r="F76" s="11" t="str">
        <x:v>Media</x:v>
      </x:c>
      <x:c r="G76" s="11" t="n">
        <x:v>43</x:v>
      </x:c>
      <x:c r="H76" s="11" t="str">
        <x:v>Inspección adicional</x:v>
      </x:c>
      <x:c r="I76" s="11" t="str">
        <x:v>Cerrada</x:v>
      </x:c>
    </x:row>
    <x:row r="77">
      <x:c r="A77" s="11" t="n">
        <x:v>76</x:v>
      </x:c>
      <x:c r="B77" s="11" t="str">
        <x:v>2026-09-22</x:v>
      </x:c>
      <x:c r="C77" s="11" t="str">
        <x:v>L1</x:v>
      </x:c>
      <x:c r="D77" s="11" t="str">
        <x:v>Envasado A</x:v>
      </x:c>
      <x:c r="E77" s="11" t="str">
        <x:v>Etiqueta</x:v>
      </x:c>
      <x:c r="F77" s="11" t="str">
        <x:v>Alta</x:v>
      </x:c>
      <x:c r="G77" s="11" t="n">
        <x:v>89</x:v>
      </x:c>
      <x:c r="H77" s="11" t="str">
        <x:v>Reentrenamiento</x:v>
      </x:c>
      <x:c r="I77" s="11" t="str">
        <x:v>Cerrada</x:v>
      </x:c>
    </x:row>
    <x:row r="78">
      <x:c r="A78" s="11" t="n">
        <x:v>77</x:v>
      </x:c>
      <x:c r="B78" s="11" t="str">
        <x:v>2026-09-22</x:v>
      </x:c>
      <x:c r="C78" s="11" t="str">
        <x:v>L3</x:v>
      </x:c>
      <x:c r="D78" s="11" t="str">
        <x:v>Empaque</x:v>
      </x:c>
      <x:c r="E78" s="11" t="str">
        <x:v>Sellado</x:v>
      </x:c>
      <x:c r="F78" s="11" t="str">
        <x:v>Alta</x:v>
      </x:c>
      <x:c r="G78" s="11" t="n">
        <x:v>170</x:v>
      </x:c>
      <x:c r="H78" s="11" t="str">
        <x:v>Cambio de lote</x:v>
      </x:c>
      <x:c r="I78" s="11" t="str">
        <x:v>Cerrada</x:v>
      </x:c>
    </x:row>
    <x:row r="79">
      <x:c r="A79" s="11" t="n">
        <x:v>78</x:v>
      </x:c>
      <x:c r="B79" s="11" t="str">
        <x:v>2026-09-24</x:v>
      </x:c>
      <x:c r="C79" s="11" t="str">
        <x:v>L3</x:v>
      </x:c>
      <x:c r="D79" s="11" t="str">
        <x:v>Empaque</x:v>
      </x:c>
      <x:c r="E79" s="11" t="str">
        <x:v>Dimensión</x:v>
      </x:c>
      <x:c r="F79" s="11" t="str">
        <x:v>Media</x:v>
      </x:c>
      <x:c r="G79" s="11" t="n">
        <x:v>57</x:v>
      </x:c>
      <x:c r="H79" s="11" t="str">
        <x:v>Ajuste mecánico</x:v>
      </x:c>
      <x:c r="I79" s="11" t="str">
        <x:v>Cerrada</x:v>
      </x:c>
    </x:row>
    <x:row r="80">
      <x:c r="A80" s="11" t="n">
        <x:v>79</x:v>
      </x:c>
      <x:c r="B80" s="11" t="str">
        <x:v>2026-09-24</x:v>
      </x:c>
      <x:c r="C80" s="11" t="str">
        <x:v>L2</x:v>
      </x:c>
      <x:c r="D80" s="11" t="str">
        <x:v>Envasado B</x:v>
      </x:c>
      <x:c r="E80" s="11" t="str">
        <x:v>Etiqueta</x:v>
      </x:c>
      <x:c r="F80" s="11" t="str">
        <x:v>Alta</x:v>
      </x:c>
      <x:c r="G80" s="11" t="n">
        <x:v>138</x:v>
      </x:c>
      <x:c r="H80" s="11" t="str">
        <x:v>Cambio de lote</x:v>
      </x:c>
      <x:c r="I80" s="11" t="str">
        <x:v>Cerrada</x:v>
      </x:c>
    </x:row>
    <x:row r="81">
      <x:c r="A81" s="11" t="n">
        <x:v>80</x:v>
      </x:c>
      <x:c r="B81" s="11" t="str">
        <x:v>2026-09-25</x:v>
      </x:c>
      <x:c r="C81" s="11" t="str">
        <x:v>L1</x:v>
      </x:c>
      <x:c r="D81" s="11" t="str">
        <x:v>Envasado A</x:v>
      </x:c>
      <x:c r="E81" s="11" t="str">
        <x:v>Sellado</x:v>
      </x:c>
      <x:c r="F81" s="11" t="str">
        <x:v>Alta</x:v>
      </x:c>
      <x:c r="G81" s="11" t="n">
        <x:v>22</x:v>
      </x:c>
      <x:c r="H81" s="11" t="str">
        <x:v>Reentrenamiento</x:v>
      </x:c>
      <x:c r="I81" s="11" t="str">
        <x:v>Cerrada</x:v>
      </x:c>
    </x:row>
    <x:row r="82">
      <x:c r="A82" s="11" t="n">
        <x:v>81</x:v>
      </x:c>
      <x:c r="B82" s="11" t="str">
        <x:v>2026-09-26</x:v>
      </x:c>
      <x:c r="C82" s="11" t="str">
        <x:v>L2</x:v>
      </x:c>
      <x:c r="D82" s="11" t="str">
        <x:v>Envasado B</x:v>
      </x:c>
      <x:c r="E82" s="11" t="str">
        <x:v>Etiqueta</x:v>
      </x:c>
      <x:c r="F82" s="11" t="str">
        <x:v>Media</x:v>
      </x:c>
      <x:c r="G82" s="11" t="n">
        <x:v>28</x:v>
      </x:c>
      <x:c r="H82" s="11" t="str">
        <x:v>Reentrenamiento</x:v>
      </x:c>
      <x:c r="I82" s="11" t="str">
        <x:v>En seguimiento</x:v>
      </x:c>
    </x:row>
    <x:row r="83">
      <x:c r="A83" s="11" t="n">
        <x:v>82</x:v>
      </x:c>
      <x:c r="B83" s="11" t="str">
        <x:v>2026-09-26</x:v>
      </x:c>
      <x:c r="C83" s="11" t="str">
        <x:v>L2</x:v>
      </x:c>
      <x:c r="D83" s="11" t="str">
        <x:v>Envasado B</x:v>
      </x:c>
      <x:c r="E83" s="11" t="str">
        <x:v>Etiqueta</x:v>
      </x:c>
      <x:c r="F83" s="11" t="str">
        <x:v>Baja</x:v>
      </x:c>
      <x:c r="G83" s="11" t="n">
        <x:v>114</x:v>
      </x:c>
      <x:c r="H83" s="11" t="str">
        <x:v>Inspección adicional</x:v>
      </x:c>
      <x:c r="I83" s="11" t="str">
        <x:v>Cerrada</x:v>
      </x:c>
    </x:row>
    <x:row r="84">
      <x:c r="A84" s="11" t="n">
        <x:v>83</x:v>
      </x:c>
      <x:c r="B84" s="11" t="str">
        <x:v>2026-09-28</x:v>
      </x:c>
      <x:c r="C84" s="11" t="str">
        <x:v>L2</x:v>
      </x:c>
      <x:c r="D84" s="11" t="str">
        <x:v>Envasado B</x:v>
      </x:c>
      <x:c r="E84" s="11" t="str">
        <x:v>Etiqueta</x:v>
      </x:c>
      <x:c r="F84" s="11" t="str">
        <x:v>Alta</x:v>
      </x:c>
      <x:c r="G84" s="11" t="n">
        <x:v>50</x:v>
      </x:c>
      <x:c r="H84" s="11" t="str">
        <x:v>Ajuste mecánico</x:v>
      </x:c>
      <x:c r="I84" s="11" t="str">
        <x:v>Cerrada</x:v>
      </x:c>
    </x:row>
    <x:row r="85">
      <x:c r="A85" s="11" t="n">
        <x:v>84</x:v>
      </x:c>
      <x:c r="B85" s="11" t="str">
        <x:v>2026-09-28</x:v>
      </x:c>
      <x:c r="C85" s="11" t="str">
        <x:v>L3</x:v>
      </x:c>
      <x:c r="D85" s="11" t="str">
        <x:v>Empaque</x:v>
      </x:c>
      <x:c r="E85" s="11" t="str">
        <x:v>Dimensión</x:v>
      </x:c>
      <x:c r="F85" s="11" t="str">
        <x:v>Alta</x:v>
      </x:c>
      <x:c r="G85" s="11" t="n">
        <x:v>167</x:v>
      </x:c>
      <x:c r="H85" s="11" t="str">
        <x:v>Reentrenamiento</x:v>
      </x:c>
      <x:c r="I85" s="11" t="str">
        <x:v>Cerrada</x:v>
      </x:c>
    </x:row>
    <x:row r="86">
      <x:c r="A86" s="11" t="n">
        <x:v>85</x:v>
      </x:c>
      <x:c r="B86" s="11" t="str">
        <x:v>2026-09-29</x:v>
      </x:c>
      <x:c r="C86" s="11" t="str">
        <x:v>L1</x:v>
      </x:c>
      <x:c r="D86" s="11" t="str">
        <x:v>Envasado A</x:v>
      </x:c>
      <x:c r="E86" s="11" t="str">
        <x:v>Dimensión</x:v>
      </x:c>
      <x:c r="F86" s="11" t="str">
        <x:v>Alta</x:v>
      </x:c>
      <x:c r="G86" s="11" t="n">
        <x:v>101</x:v>
      </x:c>
      <x:c r="H86" s="11" t="str">
        <x:v>Reentrenamiento</x:v>
      </x:c>
      <x:c r="I86" s="11" t="str">
        <x:v>Cerrada</x:v>
      </x:c>
    </x:row>
    <x:row r="87">
      <x:c r="A87" s="11" t="n">
        <x:v>86</x:v>
      </x:c>
      <x:c r="B87" s="11" t="str">
        <x:v>2026-09-30</x:v>
      </x:c>
      <x:c r="C87" s="11" t="str">
        <x:v>L4</x:v>
      </x:c>
      <x:c r="D87" s="11" t="str">
        <x:v>Etiquetado</x:v>
      </x:c>
      <x:c r="E87" s="11" t="str">
        <x:v>Contaminación visual</x:v>
      </x:c>
      <x:c r="F87" s="11" t="str">
        <x:v>Alta</x:v>
      </x:c>
      <x:c r="G87" s="11" t="n">
        <x:v>44</x:v>
      </x:c>
      <x:c r="H87" s="11" t="str">
        <x:v>Inspección adicional</x:v>
      </x:c>
      <x:c r="I87" s="11" t="str">
        <x:v>Cerrada</x:v>
      </x:c>
    </x:row>
  </x:sheetData>
  <x:pageMargins left="0.7" right="0.7" top="0.75" bottom="0.75" header="0.3" footer="0.3"/>
  <x:tableParts count="1">
    <x:tablePart xmlns:r="http://schemas.openxmlformats.org/officeDocument/2006/relationships" r:id="R52c01782a9124c73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0" hidden="0" customWidth="1"/>
    <x:col min="5" max="5" width="12" hidden="0" customWidth="1"/>
    <x:col min="6" max="6" width="15" hidden="0" customWidth="1"/>
    <x:col min="7" max="7" width="14" hidden="0" customWidth="1"/>
    <x:col min="8" max="8" width="11" hidden="0" customWidth="1"/>
  </x:cols>
  <x:sheetData>
    <x:row r="1">
      <x:c r="A1" s="10" t="str">
        <x:v>id</x:v>
      </x:c>
      <x:c r="B1" s="10" t="str">
        <x:v>fecha</x:v>
      </x:c>
      <x:c r="C1" s="10" t="str">
        <x:v>material_id</x:v>
      </x:c>
      <x:c r="D1" s="10" t="str">
        <x:v>material</x:v>
      </x:c>
      <x:c r="E1" s="10" t="str">
        <x:v>existencia</x:v>
      </x:c>
      <x:c r="F1" s="10" t="str">
        <x:v>punto_reorden</x:v>
      </x:c>
      <x:c r="G1" s="10" t="str">
        <x:v>bajo_reorden</x:v>
      </x:c>
      <x:c r="H1" s="10" t="str">
        <x:v>ubicacion</x:v>
      </x:c>
    </x:row>
    <x:row r="2">
      <x:c r="A2" s="11" t="n">
        <x:v>1</x:v>
      </x:c>
      <x:c r="B2" s="11" t="str">
        <x:v>2026-07-01</x:v>
      </x:c>
      <x:c r="C2" s="11" t="str">
        <x:v>MAT001</x:v>
      </x:c>
      <x:c r="D2" s="11" t="str">
        <x:v>Resina A</x:v>
      </x:c>
      <x:c r="E2" s="11" t="n">
        <x:v>1634</x:v>
      </x:c>
      <x:c r="F2" s="11" t="n">
        <x:v>300</x:v>
      </x:c>
      <x:c r="G2" s="16" t="b">
        <x:v>0</x:v>
      </x:c>
      <x:c r="H2" s="11" t="str">
        <x:v>Almacén MRO</x:v>
      </x:c>
    </x:row>
    <x:row r="3">
      <x:c r="A3" s="11" t="n">
        <x:v>2</x:v>
      </x:c>
      <x:c r="B3" s="11" t="str">
        <x:v>2026-07-01</x:v>
      </x:c>
      <x:c r="C3" s="11" t="str">
        <x:v>MAT002</x:v>
      </x:c>
      <x:c r="D3" s="11" t="str">
        <x:v>Cartón</x:v>
      </x:c>
      <x:c r="E3" s="11" t="n">
        <x:v>2051</x:v>
      </x:c>
      <x:c r="F3" s="11" t="n">
        <x:v>450</x:v>
      </x:c>
      <x:c r="G3" s="16" t="b">
        <x:v>0</x:v>
      </x:c>
      <x:c r="H3" s="11" t="str">
        <x:v>Almacén MRO</x:v>
      </x:c>
    </x:row>
    <x:row r="4">
      <x:c r="A4" s="11" t="n">
        <x:v>3</x:v>
      </x:c>
      <x:c r="B4" s="11" t="str">
        <x:v>2026-07-01</x:v>
      </x:c>
      <x:c r="C4" s="11" t="str">
        <x:v>MAT003</x:v>
      </x:c>
      <x:c r="D4" s="11" t="str">
        <x:v>Etiqueta</x:v>
      </x:c>
      <x:c r="E4" s="11" t="n">
        <x:v>3615</x:v>
      </x:c>
      <x:c r="F4" s="11" t="n">
        <x:v>700</x:v>
      </x:c>
      <x:c r="G4" s="16" t="b">
        <x:v>0</x:v>
      </x:c>
      <x:c r="H4" s="11" t="str">
        <x:v>Almacén MP</x:v>
      </x:c>
    </x:row>
    <x:row r="5">
      <x:c r="A5" s="11" t="n">
        <x:v>4</x:v>
      </x:c>
      <x:c r="B5" s="11" t="str">
        <x:v>2026-07-01</x:v>
      </x:c>
      <x:c r="C5" s="11" t="str">
        <x:v>MAT004</x:v>
      </x:c>
      <x:c r="D5" s="11" t="str">
        <x:v>Adhesivo</x:v>
      </x:c>
      <x:c r="E5" s="11" t="n">
        <x:v>760</x:v>
      </x:c>
      <x:c r="F5" s="11" t="n">
        <x:v>200</x:v>
      </x:c>
      <x:c r="G5" s="16" t="b">
        <x:v>0</x:v>
      </x:c>
      <x:c r="H5" s="11" t="str">
        <x:v>Almacén MRO</x:v>
      </x:c>
    </x:row>
    <x:row r="6">
      <x:c r="A6" s="11" t="n">
        <x:v>5</x:v>
      </x:c>
      <x:c r="B6" s="11" t="str">
        <x:v>2026-07-01</x:v>
      </x:c>
      <x:c r="C6" s="11" t="str">
        <x:v>MAT005</x:v>
      </x:c>
      <x:c r="D6" s="11" t="str">
        <x:v>Refacción crítica</x:v>
      </x:c>
      <x:c r="E6" s="11" t="n">
        <x:v>19</x:v>
      </x:c>
      <x:c r="F6" s="11" t="n">
        <x:v>5</x:v>
      </x:c>
      <x:c r="G6" s="16" t="b">
        <x:v>0</x:v>
      </x:c>
      <x:c r="H6" s="11" t="str">
        <x:v>Almacén MRO</x:v>
      </x:c>
    </x:row>
    <x:row r="7">
      <x:c r="A7" s="11" t="n">
        <x:v>6</x:v>
      </x:c>
      <x:c r="B7" s="11" t="str">
        <x:v>2026-07-04</x:v>
      </x:c>
      <x:c r="C7" s="11" t="str">
        <x:v>MAT001</x:v>
      </x:c>
      <x:c r="D7" s="11" t="str">
        <x:v>Resina A</x:v>
      </x:c>
      <x:c r="E7" s="11" t="n">
        <x:v>1424</x:v>
      </x:c>
      <x:c r="F7" s="11" t="n">
        <x:v>300</x:v>
      </x:c>
      <x:c r="G7" s="16" t="b">
        <x:v>0</x:v>
      </x:c>
      <x:c r="H7" s="11" t="str">
        <x:v>Almacén MRO</x:v>
      </x:c>
    </x:row>
    <x:row r="8">
      <x:c r="A8" s="11" t="n">
        <x:v>7</x:v>
      </x:c>
      <x:c r="B8" s="11" t="str">
        <x:v>2026-07-04</x:v>
      </x:c>
      <x:c r="C8" s="11" t="str">
        <x:v>MAT002</x:v>
      </x:c>
      <x:c r="D8" s="11" t="str">
        <x:v>Cartón</x:v>
      </x:c>
      <x:c r="E8" s="11" t="n">
        <x:v>2503</x:v>
      </x:c>
      <x:c r="F8" s="11" t="n">
        <x:v>450</x:v>
      </x:c>
      <x:c r="G8" s="16" t="b">
        <x:v>0</x:v>
      </x:c>
      <x:c r="H8" s="11" t="str">
        <x:v>Almacén MP</x:v>
      </x:c>
    </x:row>
    <x:row r="9">
      <x:c r="A9" s="11" t="n">
        <x:v>8</x:v>
      </x:c>
      <x:c r="B9" s="11" t="str">
        <x:v>2026-07-04</x:v>
      </x:c>
      <x:c r="C9" s="11" t="str">
        <x:v>MAT003</x:v>
      </x:c>
      <x:c r="D9" s="11" t="str">
        <x:v>Etiqueta</x:v>
      </x:c>
      <x:c r="E9" s="11" t="n">
        <x:v>3001</x:v>
      </x:c>
      <x:c r="F9" s="11" t="n">
        <x:v>700</x:v>
      </x:c>
      <x:c r="G9" s="16" t="b">
        <x:v>0</x:v>
      </x:c>
      <x:c r="H9" s="11" t="str">
        <x:v>Almacén MP</x:v>
      </x:c>
    </x:row>
    <x:row r="10">
      <x:c r="A10" s="11" t="n">
        <x:v>9</x:v>
      </x:c>
      <x:c r="B10" s="11" t="str">
        <x:v>2026-07-04</x:v>
      </x:c>
      <x:c r="C10" s="11" t="str">
        <x:v>MAT004</x:v>
      </x:c>
      <x:c r="D10" s="11" t="str">
        <x:v>Adhesivo</x:v>
      </x:c>
      <x:c r="E10" s="11" t="n">
        <x:v>1059</x:v>
      </x:c>
      <x:c r="F10" s="11" t="n">
        <x:v>200</x:v>
      </x:c>
      <x:c r="G10" s="16" t="b">
        <x:v>0</x:v>
      </x:c>
      <x:c r="H10" s="11" t="str">
        <x:v>Almacén MP</x:v>
      </x:c>
    </x:row>
    <x:row r="11">
      <x:c r="A11" s="11" t="n">
        <x:v>10</x:v>
      </x:c>
      <x:c r="B11" s="11" t="str">
        <x:v>2026-07-04</x:v>
      </x:c>
      <x:c r="C11" s="11" t="str">
        <x:v>MAT005</x:v>
      </x:c>
      <x:c r="D11" s="11" t="str">
        <x:v>Refacción crítica</x:v>
      </x:c>
      <x:c r="E11" s="11" t="n">
        <x:v>20</x:v>
      </x:c>
      <x:c r="F11" s="11" t="n">
        <x:v>5</x:v>
      </x:c>
      <x:c r="G11" s="16" t="b">
        <x:v>0</x:v>
      </x:c>
      <x:c r="H11" s="11" t="str">
        <x:v>Almacén MRO</x:v>
      </x:c>
    </x:row>
    <x:row r="12">
      <x:c r="A12" s="11" t="n">
        <x:v>11</x:v>
      </x:c>
      <x:c r="B12" s="11" t="str">
        <x:v>2026-07-07</x:v>
      </x:c>
      <x:c r="C12" s="11" t="str">
        <x:v>MAT001</x:v>
      </x:c>
      <x:c r="D12" s="11" t="str">
        <x:v>Resina A</x:v>
      </x:c>
      <x:c r="E12" s="11" t="n">
        <x:v>1487</x:v>
      </x:c>
      <x:c r="F12" s="11" t="n">
        <x:v>300</x:v>
      </x:c>
      <x:c r="G12" s="16" t="b">
        <x:v>0</x:v>
      </x:c>
      <x:c r="H12" s="11" t="str">
        <x:v>Almacén MRO</x:v>
      </x:c>
    </x:row>
    <x:row r="13">
      <x:c r="A13" s="11" t="n">
        <x:v>12</x:v>
      </x:c>
      <x:c r="B13" s="11" t="str">
        <x:v>2026-07-07</x:v>
      </x:c>
      <x:c r="C13" s="11" t="str">
        <x:v>MAT002</x:v>
      </x:c>
      <x:c r="D13" s="11" t="str">
        <x:v>Cartón</x:v>
      </x:c>
      <x:c r="E13" s="11" t="n">
        <x:v>1861</x:v>
      </x:c>
      <x:c r="F13" s="11" t="n">
        <x:v>450</x:v>
      </x:c>
      <x:c r="G13" s="16" t="b">
        <x:v>0</x:v>
      </x:c>
      <x:c r="H13" s="11" t="str">
        <x:v>Almacén MRO</x:v>
      </x:c>
    </x:row>
    <x:row r="14">
      <x:c r="A14" s="11" t="n">
        <x:v>13</x:v>
      </x:c>
      <x:c r="B14" s="11" t="str">
        <x:v>2026-07-07</x:v>
      </x:c>
      <x:c r="C14" s="11" t="str">
        <x:v>MAT003</x:v>
      </x:c>
      <x:c r="D14" s="11" t="str">
        <x:v>Etiqueta</x:v>
      </x:c>
      <x:c r="E14" s="11" t="n">
        <x:v>3868</x:v>
      </x:c>
      <x:c r="F14" s="11" t="n">
        <x:v>700</x:v>
      </x:c>
      <x:c r="G14" s="16" t="b">
        <x:v>0</x:v>
      </x:c>
      <x:c r="H14" s="11" t="str">
        <x:v>Almacén MRO</x:v>
      </x:c>
    </x:row>
    <x:row r="15">
      <x:c r="A15" s="11" t="n">
        <x:v>14</x:v>
      </x:c>
      <x:c r="B15" s="11" t="str">
        <x:v>2026-07-07</x:v>
      </x:c>
      <x:c r="C15" s="11" t="str">
        <x:v>MAT004</x:v>
      </x:c>
      <x:c r="D15" s="11" t="str">
        <x:v>Adhesivo</x:v>
      </x:c>
      <x:c r="E15" s="11" t="n">
        <x:v>752</x:v>
      </x:c>
      <x:c r="F15" s="11" t="n">
        <x:v>200</x:v>
      </x:c>
      <x:c r="G15" s="16" t="b">
        <x:v>0</x:v>
      </x:c>
      <x:c r="H15" s="11" t="str">
        <x:v>Almacén MP</x:v>
      </x:c>
    </x:row>
    <x:row r="16">
      <x:c r="A16" s="11" t="n">
        <x:v>15</x:v>
      </x:c>
      <x:c r="B16" s="11" t="str">
        <x:v>2026-07-07</x:v>
      </x:c>
      <x:c r="C16" s="11" t="str">
        <x:v>MAT005</x:v>
      </x:c>
      <x:c r="D16" s="11" t="str">
        <x:v>Refacción crítica</x:v>
      </x:c>
      <x:c r="E16" s="11" t="n">
        <x:v>22</x:v>
      </x:c>
      <x:c r="F16" s="11" t="n">
        <x:v>5</x:v>
      </x:c>
      <x:c r="G16" s="16" t="b">
        <x:v>0</x:v>
      </x:c>
      <x:c r="H16" s="11" t="str">
        <x:v>Almacén MRO</x:v>
      </x:c>
    </x:row>
    <x:row r="17">
      <x:c r="A17" s="11" t="n">
        <x:v>16</x:v>
      </x:c>
      <x:c r="B17" s="11" t="str">
        <x:v>2026-07-10</x:v>
      </x:c>
      <x:c r="C17" s="11" t="str">
        <x:v>MAT001</x:v>
      </x:c>
      <x:c r="D17" s="11" t="str">
        <x:v>Resina A</x:v>
      </x:c>
      <x:c r="E17" s="11" t="n">
        <x:v>2133</x:v>
      </x:c>
      <x:c r="F17" s="11" t="n">
        <x:v>300</x:v>
      </x:c>
      <x:c r="G17" s="16" t="b">
        <x:v>0</x:v>
      </x:c>
      <x:c r="H17" s="11" t="str">
        <x:v>Almacén MP</x:v>
      </x:c>
    </x:row>
    <x:row r="18">
      <x:c r="A18" s="11" t="n">
        <x:v>17</x:v>
      </x:c>
      <x:c r="B18" s="11" t="str">
        <x:v>2026-07-10</x:v>
      </x:c>
      <x:c r="C18" s="11" t="str">
        <x:v>MAT002</x:v>
      </x:c>
      <x:c r="D18" s="11" t="str">
        <x:v>Cartón</x:v>
      </x:c>
      <x:c r="E18" s="11" t="n">
        <x:v>1381</x:v>
      </x:c>
      <x:c r="F18" s="11" t="n">
        <x:v>450</x:v>
      </x:c>
      <x:c r="G18" s="16" t="b">
        <x:v>0</x:v>
      </x:c>
      <x:c r="H18" s="11" t="str">
        <x:v>Almacén MRO</x:v>
      </x:c>
    </x:row>
    <x:row r="19">
      <x:c r="A19" s="11" t="n">
        <x:v>18</x:v>
      </x:c>
      <x:c r="B19" s="11" t="str">
        <x:v>2026-07-10</x:v>
      </x:c>
      <x:c r="C19" s="11" t="str">
        <x:v>MAT003</x:v>
      </x:c>
      <x:c r="D19" s="11" t="str">
        <x:v>Etiqueta</x:v>
      </x:c>
      <x:c r="E19" s="11" t="n">
        <x:v>3841</x:v>
      </x:c>
      <x:c r="F19" s="11" t="n">
        <x:v>700</x:v>
      </x:c>
      <x:c r="G19" s="16" t="b">
        <x:v>0</x:v>
      </x:c>
      <x:c r="H19" s="11" t="str">
        <x:v>Almacén MRO</x:v>
      </x:c>
    </x:row>
    <x:row r="20">
      <x:c r="A20" s="11" t="n">
        <x:v>19</x:v>
      </x:c>
      <x:c r="B20" s="11" t="str">
        <x:v>2026-07-10</x:v>
      </x:c>
      <x:c r="C20" s="11" t="str">
        <x:v>MAT004</x:v>
      </x:c>
      <x:c r="D20" s="11" t="str">
        <x:v>Adhesivo</x:v>
      </x:c>
      <x:c r="E20" s="11" t="n">
        <x:v>812</x:v>
      </x:c>
      <x:c r="F20" s="11" t="n">
        <x:v>200</x:v>
      </x:c>
      <x:c r="G20" s="16" t="b">
        <x:v>0</x:v>
      </x:c>
      <x:c r="H20" s="11" t="str">
        <x:v>Almacén MRO</x:v>
      </x:c>
    </x:row>
    <x:row r="21">
      <x:c r="A21" s="11" t="n">
        <x:v>20</x:v>
      </x:c>
      <x:c r="B21" s="11" t="str">
        <x:v>2026-07-10</x:v>
      </x:c>
      <x:c r="C21" s="11" t="str">
        <x:v>MAT005</x:v>
      </x:c>
      <x:c r="D21" s="11" t="str">
        <x:v>Refacción crítica</x:v>
      </x:c>
      <x:c r="E21" s="11" t="n">
        <x:v>20</x:v>
      </x:c>
      <x:c r="F21" s="11" t="n">
        <x:v>5</x:v>
      </x:c>
      <x:c r="G21" s="16" t="b">
        <x:v>0</x:v>
      </x:c>
      <x:c r="H21" s="11" t="str">
        <x:v>Almacén MRO</x:v>
      </x:c>
    </x:row>
    <x:row r="22">
      <x:c r="A22" s="11" t="n">
        <x:v>21</x:v>
      </x:c>
      <x:c r="B22" s="11" t="str">
        <x:v>2026-07-13</x:v>
      </x:c>
      <x:c r="C22" s="11" t="str">
        <x:v>MAT001</x:v>
      </x:c>
      <x:c r="D22" s="11" t="str">
        <x:v>Resina A</x:v>
      </x:c>
      <x:c r="E22" s="11" t="n">
        <x:v>1053</x:v>
      </x:c>
      <x:c r="F22" s="11" t="n">
        <x:v>300</x:v>
      </x:c>
      <x:c r="G22" s="16" t="b">
        <x:v>0</x:v>
      </x:c>
      <x:c r="H22" s="11" t="str">
        <x:v>Almacén MRO</x:v>
      </x:c>
    </x:row>
    <x:row r="23">
      <x:c r="A23" s="11" t="n">
        <x:v>22</x:v>
      </x:c>
      <x:c r="B23" s="11" t="str">
        <x:v>2026-07-13</x:v>
      </x:c>
      <x:c r="C23" s="11" t="str">
        <x:v>MAT002</x:v>
      </x:c>
      <x:c r="D23" s="11" t="str">
        <x:v>Cartón</x:v>
      </x:c>
      <x:c r="E23" s="11" t="n">
        <x:v>1949</x:v>
      </x:c>
      <x:c r="F23" s="11" t="n">
        <x:v>450</x:v>
      </x:c>
      <x:c r="G23" s="16" t="b">
        <x:v>0</x:v>
      </x:c>
      <x:c r="H23" s="11" t="str">
        <x:v>Almacén MP</x:v>
      </x:c>
    </x:row>
    <x:row r="24">
      <x:c r="A24" s="11" t="n">
        <x:v>23</x:v>
      </x:c>
      <x:c r="B24" s="11" t="str">
        <x:v>2026-07-13</x:v>
      </x:c>
      <x:c r="C24" s="11" t="str">
        <x:v>MAT003</x:v>
      </x:c>
      <x:c r="D24" s="11" t="str">
        <x:v>Etiqueta</x:v>
      </x:c>
      <x:c r="E24" s="11" t="n">
        <x:v>3047</x:v>
      </x:c>
      <x:c r="F24" s="11" t="n">
        <x:v>700</x:v>
      </x:c>
      <x:c r="G24" s="16" t="b">
        <x:v>0</x:v>
      </x:c>
      <x:c r="H24" s="11" t="str">
        <x:v>Almacén MRO</x:v>
      </x:c>
    </x:row>
    <x:row r="25">
      <x:c r="A25" s="11" t="n">
        <x:v>24</x:v>
      </x:c>
      <x:c r="B25" s="11" t="str">
        <x:v>2026-07-13</x:v>
      </x:c>
      <x:c r="C25" s="11" t="str">
        <x:v>MAT004</x:v>
      </x:c>
      <x:c r="D25" s="11" t="str">
        <x:v>Adhesivo</x:v>
      </x:c>
      <x:c r="E25" s="11" t="n">
        <x:v>1073</x:v>
      </x:c>
      <x:c r="F25" s="11" t="n">
        <x:v>200</x:v>
      </x:c>
      <x:c r="G25" s="16" t="b">
        <x:v>0</x:v>
      </x:c>
      <x:c r="H25" s="11" t="str">
        <x:v>Almacén MP</x:v>
      </x:c>
    </x:row>
    <x:row r="26">
      <x:c r="A26" s="11" t="n">
        <x:v>25</x:v>
      </x:c>
      <x:c r="B26" s="11" t="str">
        <x:v>2026-07-13</x:v>
      </x:c>
      <x:c r="C26" s="11" t="str">
        <x:v>MAT005</x:v>
      </x:c>
      <x:c r="D26" s="11" t="str">
        <x:v>Refacción crítica</x:v>
      </x:c>
      <x:c r="E26" s="11" t="n">
        <x:v>17</x:v>
      </x:c>
      <x:c r="F26" s="11" t="n">
        <x:v>5</x:v>
      </x:c>
      <x:c r="G26" s="16" t="b">
        <x:v>0</x:v>
      </x:c>
      <x:c r="H26" s="11" t="str">
        <x:v>Almacén MRO</x:v>
      </x:c>
    </x:row>
    <x:row r="27">
      <x:c r="A27" s="11" t="n">
        <x:v>26</x:v>
      </x:c>
      <x:c r="B27" s="11" t="str">
        <x:v>2026-07-16</x:v>
      </x:c>
      <x:c r="C27" s="11" t="str">
        <x:v>MAT001</x:v>
      </x:c>
      <x:c r="D27" s="11" t="str">
        <x:v>Resina A</x:v>
      </x:c>
      <x:c r="E27" s="11" t="n">
        <x:v>1982</x:v>
      </x:c>
      <x:c r="F27" s="11" t="n">
        <x:v>300</x:v>
      </x:c>
      <x:c r="G27" s="16" t="b">
        <x:v>0</x:v>
      </x:c>
      <x:c r="H27" s="11" t="str">
        <x:v>Almacén MP</x:v>
      </x:c>
    </x:row>
    <x:row r="28">
      <x:c r="A28" s="11" t="n">
        <x:v>27</x:v>
      </x:c>
      <x:c r="B28" s="11" t="str">
        <x:v>2026-07-16</x:v>
      </x:c>
      <x:c r="C28" s="11" t="str">
        <x:v>MAT002</x:v>
      </x:c>
      <x:c r="D28" s="11" t="str">
        <x:v>Cartón</x:v>
      </x:c>
      <x:c r="E28" s="11" t="n">
        <x:v>2356</x:v>
      </x:c>
      <x:c r="F28" s="11" t="n">
        <x:v>450</x:v>
      </x:c>
      <x:c r="G28" s="16" t="b">
        <x:v>0</x:v>
      </x:c>
      <x:c r="H28" s="11" t="str">
        <x:v>Almacén MP</x:v>
      </x:c>
    </x:row>
    <x:row r="29">
      <x:c r="A29" s="11" t="n">
        <x:v>28</x:v>
      </x:c>
      <x:c r="B29" s="11" t="str">
        <x:v>2026-07-16</x:v>
      </x:c>
      <x:c r="C29" s="11" t="str">
        <x:v>MAT003</x:v>
      </x:c>
      <x:c r="D29" s="11" t="str">
        <x:v>Etiqueta</x:v>
      </x:c>
      <x:c r="E29" s="11" t="n">
        <x:v>3450</x:v>
      </x:c>
      <x:c r="F29" s="11" t="n">
        <x:v>700</x:v>
      </x:c>
      <x:c r="G29" s="16" t="b">
        <x:v>0</x:v>
      </x:c>
      <x:c r="H29" s="11" t="str">
        <x:v>Almacén MP</x:v>
      </x:c>
    </x:row>
    <x:row r="30">
      <x:c r="A30" s="11" t="n">
        <x:v>29</x:v>
      </x:c>
      <x:c r="B30" s="11" t="str">
        <x:v>2026-07-16</x:v>
      </x:c>
      <x:c r="C30" s="11" t="str">
        <x:v>MAT004</x:v>
      </x:c>
      <x:c r="D30" s="11" t="str">
        <x:v>Adhesivo</x:v>
      </x:c>
      <x:c r="E30" s="11" t="n">
        <x:v>1018</x:v>
      </x:c>
      <x:c r="F30" s="11" t="n">
        <x:v>200</x:v>
      </x:c>
      <x:c r="G30" s="16" t="b">
        <x:v>0</x:v>
      </x:c>
      <x:c r="H30" s="11" t="str">
        <x:v>Almacén MRO</x:v>
      </x:c>
    </x:row>
    <x:row r="31">
      <x:c r="A31" s="11" t="n">
        <x:v>30</x:v>
      </x:c>
      <x:c r="B31" s="11" t="str">
        <x:v>2026-07-16</x:v>
      </x:c>
      <x:c r="C31" s="11" t="str">
        <x:v>MAT005</x:v>
      </x:c>
      <x:c r="D31" s="11" t="str">
        <x:v>Refacción crítica</x:v>
      </x:c>
      <x:c r="E31" s="11" t="n">
        <x:v>20</x:v>
      </x:c>
      <x:c r="F31" s="11" t="n">
        <x:v>5</x:v>
      </x:c>
      <x:c r="G31" s="16" t="b">
        <x:v>0</x:v>
      </x:c>
      <x:c r="H31" s="11" t="str">
        <x:v>Almacén MP</x:v>
      </x:c>
    </x:row>
    <x:row r="32">
      <x:c r="A32" s="11" t="n">
        <x:v>31</x:v>
      </x:c>
      <x:c r="B32" s="11" t="str">
        <x:v>2026-07-19</x:v>
      </x:c>
      <x:c r="C32" s="11" t="str">
        <x:v>MAT001</x:v>
      </x:c>
      <x:c r="D32" s="11" t="str">
        <x:v>Resina A</x:v>
      </x:c>
      <x:c r="E32" s="11" t="n">
        <x:v>1854</x:v>
      </x:c>
      <x:c r="F32" s="11" t="n">
        <x:v>300</x:v>
      </x:c>
      <x:c r="G32" s="16" t="b">
        <x:v>0</x:v>
      </x:c>
      <x:c r="H32" s="11" t="str">
        <x:v>Almacén MP</x:v>
      </x:c>
    </x:row>
    <x:row r="33">
      <x:c r="A33" s="11" t="n">
        <x:v>32</x:v>
      </x:c>
      <x:c r="B33" s="11" t="str">
        <x:v>2026-07-19</x:v>
      </x:c>
      <x:c r="C33" s="11" t="str">
        <x:v>MAT002</x:v>
      </x:c>
      <x:c r="D33" s="11" t="str">
        <x:v>Cartón</x:v>
      </x:c>
      <x:c r="E33" s="11" t="n">
        <x:v>2329</x:v>
      </x:c>
      <x:c r="F33" s="11" t="n">
        <x:v>450</x:v>
      </x:c>
      <x:c r="G33" s="16" t="b">
        <x:v>0</x:v>
      </x:c>
      <x:c r="H33" s="11" t="str">
        <x:v>Almacén MRO</x:v>
      </x:c>
    </x:row>
    <x:row r="34">
      <x:c r="A34" s="11" t="n">
        <x:v>33</x:v>
      </x:c>
      <x:c r="B34" s="11" t="str">
        <x:v>2026-07-19</x:v>
      </x:c>
      <x:c r="C34" s="11" t="str">
        <x:v>MAT003</x:v>
      </x:c>
      <x:c r="D34" s="11" t="str">
        <x:v>Etiqueta</x:v>
      </x:c>
      <x:c r="E34" s="11" t="n">
        <x:v>3685</x:v>
      </x:c>
      <x:c r="F34" s="11" t="n">
        <x:v>700</x:v>
      </x:c>
      <x:c r="G34" s="16" t="b">
        <x:v>0</x:v>
      </x:c>
      <x:c r="H34" s="11" t="str">
        <x:v>Almacén MRO</x:v>
      </x:c>
    </x:row>
    <x:row r="35">
      <x:c r="A35" s="11" t="n">
        <x:v>34</x:v>
      </x:c>
      <x:c r="B35" s="11" t="str">
        <x:v>2026-07-19</x:v>
      </x:c>
      <x:c r="C35" s="11" t="str">
        <x:v>MAT004</x:v>
      </x:c>
      <x:c r="D35" s="11" t="str">
        <x:v>Adhesivo</x:v>
      </x:c>
      <x:c r="E35" s="11" t="n">
        <x:v>737</x:v>
      </x:c>
      <x:c r="F35" s="11" t="n">
        <x:v>200</x:v>
      </x:c>
      <x:c r="G35" s="16" t="b">
        <x:v>0</x:v>
      </x:c>
      <x:c r="H35" s="11" t="str">
        <x:v>Almacén MP</x:v>
      </x:c>
    </x:row>
    <x:row r="36">
      <x:c r="A36" s="11" t="n">
        <x:v>35</x:v>
      </x:c>
      <x:c r="B36" s="11" t="str">
        <x:v>2026-07-19</x:v>
      </x:c>
      <x:c r="C36" s="11" t="str">
        <x:v>MAT005</x:v>
      </x:c>
      <x:c r="D36" s="11" t="str">
        <x:v>Refacción crítica</x:v>
      </x:c>
      <x:c r="E36" s="11" t="n">
        <x:v>10</x:v>
      </x:c>
      <x:c r="F36" s="11" t="n">
        <x:v>5</x:v>
      </x:c>
      <x:c r="G36" s="16" t="b">
        <x:v>0</x:v>
      </x:c>
      <x:c r="H36" s="11" t="str">
        <x:v>Almacén MP</x:v>
      </x:c>
    </x:row>
    <x:row r="37">
      <x:c r="A37" s="11" t="n">
        <x:v>36</x:v>
      </x:c>
      <x:c r="B37" s="11" t="str">
        <x:v>2026-07-22</x:v>
      </x:c>
      <x:c r="C37" s="11" t="str">
        <x:v>MAT001</x:v>
      </x:c>
      <x:c r="D37" s="11" t="str">
        <x:v>Resina A</x:v>
      </x:c>
      <x:c r="E37" s="11" t="n">
        <x:v>1615</x:v>
      </x:c>
      <x:c r="F37" s="11" t="n">
        <x:v>300</x:v>
      </x:c>
      <x:c r="G37" s="16" t="b">
        <x:v>0</x:v>
      </x:c>
      <x:c r="H37" s="11" t="str">
        <x:v>Almacén MRO</x:v>
      </x:c>
    </x:row>
    <x:row r="38">
      <x:c r="A38" s="11" t="n">
        <x:v>37</x:v>
      </x:c>
      <x:c r="B38" s="11" t="str">
        <x:v>2026-07-22</x:v>
      </x:c>
      <x:c r="C38" s="11" t="str">
        <x:v>MAT002</x:v>
      </x:c>
      <x:c r="D38" s="11" t="str">
        <x:v>Cartón</x:v>
      </x:c>
      <x:c r="E38" s="11" t="n">
        <x:v>2032</x:v>
      </x:c>
      <x:c r="F38" s="11" t="n">
        <x:v>450</x:v>
      </x:c>
      <x:c r="G38" s="16" t="b">
        <x:v>0</x:v>
      </x:c>
      <x:c r="H38" s="11" t="str">
        <x:v>Almacén MRO</x:v>
      </x:c>
    </x:row>
    <x:row r="39">
      <x:c r="A39" s="11" t="n">
        <x:v>38</x:v>
      </x:c>
      <x:c r="B39" s="11" t="str">
        <x:v>2026-07-22</x:v>
      </x:c>
      <x:c r="C39" s="11" t="str">
        <x:v>MAT003</x:v>
      </x:c>
      <x:c r="D39" s="11" t="str">
        <x:v>Etiqueta</x:v>
      </x:c>
      <x:c r="E39" s="11" t="n">
        <x:v>3234</x:v>
      </x:c>
      <x:c r="F39" s="11" t="n">
        <x:v>700</x:v>
      </x:c>
      <x:c r="G39" s="16" t="b">
        <x:v>0</x:v>
      </x:c>
      <x:c r="H39" s="11" t="str">
        <x:v>Almacén MRO</x:v>
      </x:c>
    </x:row>
    <x:row r="40">
      <x:c r="A40" s="11" t="n">
        <x:v>39</x:v>
      </x:c>
      <x:c r="B40" s="11" t="str">
        <x:v>2026-07-22</x:v>
      </x:c>
      <x:c r="C40" s="11" t="str">
        <x:v>MAT004</x:v>
      </x:c>
      <x:c r="D40" s="11" t="str">
        <x:v>Adhesivo</x:v>
      </x:c>
      <x:c r="E40" s="11" t="n">
        <x:v>681</x:v>
      </x:c>
      <x:c r="F40" s="11" t="n">
        <x:v>200</x:v>
      </x:c>
      <x:c r="G40" s="16" t="b">
        <x:v>0</x:v>
      </x:c>
      <x:c r="H40" s="11" t="str">
        <x:v>Almacén MRO</x:v>
      </x:c>
    </x:row>
    <x:row r="41">
      <x:c r="A41" s="11" t="n">
        <x:v>40</x:v>
      </x:c>
      <x:c r="B41" s="11" t="str">
        <x:v>2026-07-22</x:v>
      </x:c>
      <x:c r="C41" s="11" t="str">
        <x:v>MAT005</x:v>
      </x:c>
      <x:c r="D41" s="11" t="str">
        <x:v>Refacción crítica</x:v>
      </x:c>
      <x:c r="E41" s="11" t="n">
        <x:v>19</x:v>
      </x:c>
      <x:c r="F41" s="11" t="n">
        <x:v>5</x:v>
      </x:c>
      <x:c r="G41" s="16" t="b">
        <x:v>0</x:v>
      </x:c>
      <x:c r="H41" s="11" t="str">
        <x:v>Almacén MP</x:v>
      </x:c>
    </x:row>
    <x:row r="42">
      <x:c r="A42" s="11" t="n">
        <x:v>41</x:v>
      </x:c>
      <x:c r="B42" s="11" t="str">
        <x:v>2026-07-25</x:v>
      </x:c>
      <x:c r="C42" s="11" t="str">
        <x:v>MAT001</x:v>
      </x:c>
      <x:c r="D42" s="11" t="str">
        <x:v>Resina A</x:v>
      </x:c>
      <x:c r="E42" s="11" t="n">
        <x:v>1051</x:v>
      </x:c>
      <x:c r="F42" s="11" t="n">
        <x:v>300</x:v>
      </x:c>
      <x:c r="G42" s="16" t="b">
        <x:v>0</x:v>
      </x:c>
      <x:c r="H42" s="11" t="str">
        <x:v>Almacén MP</x:v>
      </x:c>
    </x:row>
    <x:row r="43">
      <x:c r="A43" s="11" t="n">
        <x:v>42</x:v>
      </x:c>
      <x:c r="B43" s="11" t="str">
        <x:v>2026-07-25</x:v>
      </x:c>
      <x:c r="C43" s="11" t="str">
        <x:v>MAT002</x:v>
      </x:c>
      <x:c r="D43" s="11" t="str">
        <x:v>Cartón</x:v>
      </x:c>
      <x:c r="E43" s="11" t="n">
        <x:v>1750</x:v>
      </x:c>
      <x:c r="F43" s="11" t="n">
        <x:v>450</x:v>
      </x:c>
      <x:c r="G43" s="16" t="b">
        <x:v>0</x:v>
      </x:c>
      <x:c r="H43" s="11" t="str">
        <x:v>Almacén MRO</x:v>
      </x:c>
    </x:row>
    <x:row r="44">
      <x:c r="A44" s="11" t="n">
        <x:v>43</x:v>
      </x:c>
      <x:c r="B44" s="11" t="str">
        <x:v>2026-07-25</x:v>
      </x:c>
      <x:c r="C44" s="11" t="str">
        <x:v>MAT003</x:v>
      </x:c>
      <x:c r="D44" s="11" t="str">
        <x:v>Etiqueta</x:v>
      </x:c>
      <x:c r="E44" s="11" t="n">
        <x:v>2676</x:v>
      </x:c>
      <x:c r="F44" s="11" t="n">
        <x:v>700</x:v>
      </x:c>
      <x:c r="G44" s="16" t="b">
        <x:v>0</x:v>
      </x:c>
      <x:c r="H44" s="11" t="str">
        <x:v>Almacén MP</x:v>
      </x:c>
    </x:row>
    <x:row r="45">
      <x:c r="A45" s="11" t="n">
        <x:v>44</x:v>
      </x:c>
      <x:c r="B45" s="11" t="str">
        <x:v>2026-07-25</x:v>
      </x:c>
      <x:c r="C45" s="11" t="str">
        <x:v>MAT004</x:v>
      </x:c>
      <x:c r="D45" s="11" t="str">
        <x:v>Adhesivo</x:v>
      </x:c>
      <x:c r="E45" s="11" t="n">
        <x:v>837</x:v>
      </x:c>
      <x:c r="F45" s="11" t="n">
        <x:v>200</x:v>
      </x:c>
      <x:c r="G45" s="16" t="b">
        <x:v>0</x:v>
      </x:c>
      <x:c r="H45" s="11" t="str">
        <x:v>Almacén MRO</x:v>
      </x:c>
    </x:row>
    <x:row r="46">
      <x:c r="A46" s="11" t="n">
        <x:v>45</x:v>
      </x:c>
      <x:c r="B46" s="11" t="str">
        <x:v>2026-07-25</x:v>
      </x:c>
      <x:c r="C46" s="11" t="str">
        <x:v>MAT005</x:v>
      </x:c>
      <x:c r="D46" s="11" t="str">
        <x:v>Refacción crítica</x:v>
      </x:c>
      <x:c r="E46" s="11" t="n">
        <x:v>22</x:v>
      </x:c>
      <x:c r="F46" s="11" t="n">
        <x:v>5</x:v>
      </x:c>
      <x:c r="G46" s="16" t="b">
        <x:v>0</x:v>
      </x:c>
      <x:c r="H46" s="11" t="str">
        <x:v>Almacén MRO</x:v>
      </x:c>
    </x:row>
    <x:row r="47">
      <x:c r="A47" s="11" t="n">
        <x:v>46</x:v>
      </x:c>
      <x:c r="B47" s="11" t="str">
        <x:v>2026-07-28</x:v>
      </x:c>
      <x:c r="C47" s="11" t="str">
        <x:v>MAT001</x:v>
      </x:c>
      <x:c r="D47" s="11" t="str">
        <x:v>Resina A</x:v>
      </x:c>
      <x:c r="E47" s="11" t="n">
        <x:v>1663</x:v>
      </x:c>
      <x:c r="F47" s="11" t="n">
        <x:v>300</x:v>
      </x:c>
      <x:c r="G47" s="16" t="b">
        <x:v>0</x:v>
      </x:c>
      <x:c r="H47" s="11" t="str">
        <x:v>Almacén MRO</x:v>
      </x:c>
    </x:row>
    <x:row r="48">
      <x:c r="A48" s="11" t="n">
        <x:v>47</x:v>
      </x:c>
      <x:c r="B48" s="11" t="str">
        <x:v>2026-07-28</x:v>
      </x:c>
      <x:c r="C48" s="11" t="str">
        <x:v>MAT002</x:v>
      </x:c>
      <x:c r="D48" s="11" t="str">
        <x:v>Cartón</x:v>
      </x:c>
      <x:c r="E48" s="11" t="n">
        <x:v>2209</x:v>
      </x:c>
      <x:c r="F48" s="11" t="n">
        <x:v>450</x:v>
      </x:c>
      <x:c r="G48" s="16" t="b">
        <x:v>0</x:v>
      </x:c>
      <x:c r="H48" s="11" t="str">
        <x:v>Almacén MP</x:v>
      </x:c>
    </x:row>
    <x:row r="49">
      <x:c r="A49" s="11" t="n">
        <x:v>48</x:v>
      </x:c>
      <x:c r="B49" s="11" t="str">
        <x:v>2026-07-28</x:v>
      </x:c>
      <x:c r="C49" s="11" t="str">
        <x:v>MAT003</x:v>
      </x:c>
      <x:c r="D49" s="11" t="str">
        <x:v>Etiqueta</x:v>
      </x:c>
      <x:c r="E49" s="11" t="n">
        <x:v>4391</x:v>
      </x:c>
      <x:c r="F49" s="11" t="n">
        <x:v>700</x:v>
      </x:c>
      <x:c r="G49" s="16" t="b">
        <x:v>0</x:v>
      </x:c>
      <x:c r="H49" s="11" t="str">
        <x:v>Almacén MRO</x:v>
      </x:c>
    </x:row>
    <x:row r="50">
      <x:c r="A50" s="11" t="n">
        <x:v>49</x:v>
      </x:c>
      <x:c r="B50" s="11" t="str">
        <x:v>2026-07-28</x:v>
      </x:c>
      <x:c r="C50" s="11" t="str">
        <x:v>MAT004</x:v>
      </x:c>
      <x:c r="D50" s="11" t="str">
        <x:v>Adhesivo</x:v>
      </x:c>
      <x:c r="E50" s="11" t="n">
        <x:v>1000</x:v>
      </x:c>
      <x:c r="F50" s="11" t="n">
        <x:v>200</x:v>
      </x:c>
      <x:c r="G50" s="16" t="b">
        <x:v>0</x:v>
      </x:c>
      <x:c r="H50" s="11" t="str">
        <x:v>Almacén MRO</x:v>
      </x:c>
    </x:row>
    <x:row r="51">
      <x:c r="A51" s="11" t="n">
        <x:v>50</x:v>
      </x:c>
      <x:c r="B51" s="11" t="str">
        <x:v>2026-07-28</x:v>
      </x:c>
      <x:c r="C51" s="11" t="str">
        <x:v>MAT005</x:v>
      </x:c>
      <x:c r="D51" s="11" t="str">
        <x:v>Refacción crítica</x:v>
      </x:c>
      <x:c r="E51" s="11" t="n">
        <x:v>16</x:v>
      </x:c>
      <x:c r="F51" s="11" t="n">
        <x:v>5</x:v>
      </x:c>
      <x:c r="G51" s="16" t="b">
        <x:v>0</x:v>
      </x:c>
      <x:c r="H51" s="11" t="str">
        <x:v>Almacén MP</x:v>
      </x:c>
    </x:row>
    <x:row r="52">
      <x:c r="A52" s="11" t="n">
        <x:v>51</x:v>
      </x:c>
      <x:c r="B52" s="11" t="str">
        <x:v>2026-07-31</x:v>
      </x:c>
      <x:c r="C52" s="11" t="str">
        <x:v>MAT001</x:v>
      </x:c>
      <x:c r="D52" s="11" t="str">
        <x:v>Resina A</x:v>
      </x:c>
      <x:c r="E52" s="11" t="n">
        <x:v>1137</x:v>
      </x:c>
      <x:c r="F52" s="11" t="n">
        <x:v>300</x:v>
      </x:c>
      <x:c r="G52" s="16" t="b">
        <x:v>0</x:v>
      </x:c>
      <x:c r="H52" s="11" t="str">
        <x:v>Almacén MP</x:v>
      </x:c>
    </x:row>
    <x:row r="53">
      <x:c r="A53" s="11" t="n">
        <x:v>52</x:v>
      </x:c>
      <x:c r="B53" s="11" t="str">
        <x:v>2026-07-31</x:v>
      </x:c>
      <x:c r="C53" s="11" t="str">
        <x:v>MAT002</x:v>
      </x:c>
      <x:c r="D53" s="11" t="str">
        <x:v>Cartón</x:v>
      </x:c>
      <x:c r="E53" s="11" t="n">
        <x:v>1764</x:v>
      </x:c>
      <x:c r="F53" s="11" t="n">
        <x:v>450</x:v>
      </x:c>
      <x:c r="G53" s="16" t="b">
        <x:v>0</x:v>
      </x:c>
      <x:c r="H53" s="11" t="str">
        <x:v>Almacén MP</x:v>
      </x:c>
    </x:row>
    <x:row r="54">
      <x:c r="A54" s="11" t="n">
        <x:v>53</x:v>
      </x:c>
      <x:c r="B54" s="11" t="str">
        <x:v>2026-07-31</x:v>
      </x:c>
      <x:c r="C54" s="11" t="str">
        <x:v>MAT003</x:v>
      </x:c>
      <x:c r="D54" s="11" t="str">
        <x:v>Etiqueta</x:v>
      </x:c>
      <x:c r="E54" s="11" t="n">
        <x:v>4196</x:v>
      </x:c>
      <x:c r="F54" s="11" t="n">
        <x:v>700</x:v>
      </x:c>
      <x:c r="G54" s="16" t="b">
        <x:v>0</x:v>
      </x:c>
      <x:c r="H54" s="11" t="str">
        <x:v>Almacén MRO</x:v>
      </x:c>
    </x:row>
    <x:row r="55">
      <x:c r="A55" s="11" t="n">
        <x:v>54</x:v>
      </x:c>
      <x:c r="B55" s="11" t="str">
        <x:v>2026-07-31</x:v>
      </x:c>
      <x:c r="C55" s="11" t="str">
        <x:v>MAT004</x:v>
      </x:c>
      <x:c r="D55" s="11" t="str">
        <x:v>Adhesivo</x:v>
      </x:c>
      <x:c r="E55" s="11" t="n">
        <x:v>1004</x:v>
      </x:c>
      <x:c r="F55" s="11" t="n">
        <x:v>200</x:v>
      </x:c>
      <x:c r="G55" s="16" t="b">
        <x:v>0</x:v>
      </x:c>
      <x:c r="H55" s="11" t="str">
        <x:v>Almacén MRO</x:v>
      </x:c>
    </x:row>
    <x:row r="56">
      <x:c r="A56" s="11" t="n">
        <x:v>55</x:v>
      </x:c>
      <x:c r="B56" s="11" t="str">
        <x:v>2026-07-31</x:v>
      </x:c>
      <x:c r="C56" s="11" t="str">
        <x:v>MAT005</x:v>
      </x:c>
      <x:c r="D56" s="11" t="str">
        <x:v>Refacción crítica</x:v>
      </x:c>
      <x:c r="E56" s="11" t="n">
        <x:v>27</x:v>
      </x:c>
      <x:c r="F56" s="11" t="n">
        <x:v>5</x:v>
      </x:c>
      <x:c r="G56" s="16" t="b">
        <x:v>0</x:v>
      </x:c>
      <x:c r="H56" s="11" t="str">
        <x:v>Almacén MP</x:v>
      </x:c>
    </x:row>
    <x:row r="57">
      <x:c r="A57" s="11" t="n">
        <x:v>56</x:v>
      </x:c>
      <x:c r="B57" s="11" t="str">
        <x:v>2026-08-03</x:v>
      </x:c>
      <x:c r="C57" s="11" t="str">
        <x:v>MAT001</x:v>
      </x:c>
      <x:c r="D57" s="11" t="str">
        <x:v>Resina A</x:v>
      </x:c>
      <x:c r="E57" s="11" t="n">
        <x:v>1537</x:v>
      </x:c>
      <x:c r="F57" s="11" t="n">
        <x:v>300</x:v>
      </x:c>
      <x:c r="G57" s="16" t="b">
        <x:v>0</x:v>
      </x:c>
      <x:c r="H57" s="11" t="str">
        <x:v>Almacén MP</x:v>
      </x:c>
    </x:row>
    <x:row r="58">
      <x:c r="A58" s="11" t="n">
        <x:v>57</x:v>
      </x:c>
      <x:c r="B58" s="11" t="str">
        <x:v>2026-08-03</x:v>
      </x:c>
      <x:c r="C58" s="11" t="str">
        <x:v>MAT002</x:v>
      </x:c>
      <x:c r="D58" s="11" t="str">
        <x:v>Cartón</x:v>
      </x:c>
      <x:c r="E58" s="11" t="n">
        <x:v>2326</x:v>
      </x:c>
      <x:c r="F58" s="11" t="n">
        <x:v>450</x:v>
      </x:c>
      <x:c r="G58" s="16" t="b">
        <x:v>0</x:v>
      </x:c>
      <x:c r="H58" s="11" t="str">
        <x:v>Almacén MP</x:v>
      </x:c>
    </x:row>
    <x:row r="59">
      <x:c r="A59" s="11" t="n">
        <x:v>58</x:v>
      </x:c>
      <x:c r="B59" s="11" t="str">
        <x:v>2026-08-03</x:v>
      </x:c>
      <x:c r="C59" s="11" t="str">
        <x:v>MAT003</x:v>
      </x:c>
      <x:c r="D59" s="11" t="str">
        <x:v>Etiqueta</x:v>
      </x:c>
      <x:c r="E59" s="11" t="n">
        <x:v>3420</x:v>
      </x:c>
      <x:c r="F59" s="11" t="n">
        <x:v>700</x:v>
      </x:c>
      <x:c r="G59" s="16" t="b">
        <x:v>0</x:v>
      </x:c>
      <x:c r="H59" s="11" t="str">
        <x:v>Almacén MRO</x:v>
      </x:c>
    </x:row>
    <x:row r="60">
      <x:c r="A60" s="11" t="n">
        <x:v>59</x:v>
      </x:c>
      <x:c r="B60" s="11" t="str">
        <x:v>2026-08-03</x:v>
      </x:c>
      <x:c r="C60" s="11" t="str">
        <x:v>MAT004</x:v>
      </x:c>
      <x:c r="D60" s="11" t="str">
        <x:v>Adhesivo</x:v>
      </x:c>
      <x:c r="E60" s="11" t="n">
        <x:v>1179</x:v>
      </x:c>
      <x:c r="F60" s="11" t="n">
        <x:v>200</x:v>
      </x:c>
      <x:c r="G60" s="16" t="b">
        <x:v>0</x:v>
      </x:c>
      <x:c r="H60" s="11" t="str">
        <x:v>Almacén MRO</x:v>
      </x:c>
    </x:row>
    <x:row r="61">
      <x:c r="A61" s="11" t="n">
        <x:v>60</x:v>
      </x:c>
      <x:c r="B61" s="11" t="str">
        <x:v>2026-08-03</x:v>
      </x:c>
      <x:c r="C61" s="11" t="str">
        <x:v>MAT005</x:v>
      </x:c>
      <x:c r="D61" s="11" t="str">
        <x:v>Refacción crítica</x:v>
      </x:c>
      <x:c r="E61" s="11" t="n">
        <x:v>16</x:v>
      </x:c>
      <x:c r="F61" s="11" t="n">
        <x:v>5</x:v>
      </x:c>
      <x:c r="G61" s="16" t="b">
        <x:v>0</x:v>
      </x:c>
      <x:c r="H61" s="11" t="str">
        <x:v>Almacén MP</x:v>
      </x:c>
    </x:row>
    <x:row r="62">
      <x:c r="A62" s="11" t="n">
        <x:v>61</x:v>
      </x:c>
      <x:c r="B62" s="11" t="str">
        <x:v>2026-08-06</x:v>
      </x:c>
      <x:c r="C62" s="11" t="str">
        <x:v>MAT001</x:v>
      </x:c>
      <x:c r="D62" s="11" t="str">
        <x:v>Resina A</x:v>
      </x:c>
      <x:c r="E62" s="11" t="n">
        <x:v>1229</x:v>
      </x:c>
      <x:c r="F62" s="11" t="n">
        <x:v>300</x:v>
      </x:c>
      <x:c r="G62" s="16" t="b">
        <x:v>0</x:v>
      </x:c>
      <x:c r="H62" s="11" t="str">
        <x:v>Almacén MP</x:v>
      </x:c>
    </x:row>
    <x:row r="63">
      <x:c r="A63" s="11" t="n">
        <x:v>62</x:v>
      </x:c>
      <x:c r="B63" s="11" t="str">
        <x:v>2026-08-06</x:v>
      </x:c>
      <x:c r="C63" s="11" t="str">
        <x:v>MAT002</x:v>
      </x:c>
      <x:c r="D63" s="11" t="str">
        <x:v>Cartón</x:v>
      </x:c>
      <x:c r="E63" s="11" t="n">
        <x:v>2096</x:v>
      </x:c>
      <x:c r="F63" s="11" t="n">
        <x:v>450</x:v>
      </x:c>
      <x:c r="G63" s="16" t="b">
        <x:v>0</x:v>
      </x:c>
      <x:c r="H63" s="11" t="str">
        <x:v>Almacén MRO</x:v>
      </x:c>
    </x:row>
    <x:row r="64">
      <x:c r="A64" s="11" t="n">
        <x:v>63</x:v>
      </x:c>
      <x:c r="B64" s="11" t="str">
        <x:v>2026-08-06</x:v>
      </x:c>
      <x:c r="C64" s="11" t="str">
        <x:v>MAT003</x:v>
      </x:c>
      <x:c r="D64" s="11" t="str">
        <x:v>Etiqueta</x:v>
      </x:c>
      <x:c r="E64" s="11" t="n">
        <x:v>4091</x:v>
      </x:c>
      <x:c r="F64" s="11" t="n">
        <x:v>700</x:v>
      </x:c>
      <x:c r="G64" s="16" t="b">
        <x:v>0</x:v>
      </x:c>
      <x:c r="H64" s="11" t="str">
        <x:v>Almacén MP</x:v>
      </x:c>
    </x:row>
    <x:row r="65">
      <x:c r="A65" s="11" t="n">
        <x:v>64</x:v>
      </x:c>
      <x:c r="B65" s="11" t="str">
        <x:v>2026-08-06</x:v>
      </x:c>
      <x:c r="C65" s="11" t="str">
        <x:v>MAT004</x:v>
      </x:c>
      <x:c r="D65" s="11" t="str">
        <x:v>Adhesivo</x:v>
      </x:c>
      <x:c r="E65" s="11" t="n">
        <x:v>738</x:v>
      </x:c>
      <x:c r="F65" s="11" t="n">
        <x:v>200</x:v>
      </x:c>
      <x:c r="G65" s="16" t="b">
        <x:v>0</x:v>
      </x:c>
      <x:c r="H65" s="11" t="str">
        <x:v>Almacén MRO</x:v>
      </x:c>
    </x:row>
    <x:row r="66">
      <x:c r="A66" s="11" t="n">
        <x:v>65</x:v>
      </x:c>
      <x:c r="B66" s="11" t="str">
        <x:v>2026-08-06</x:v>
      </x:c>
      <x:c r="C66" s="11" t="str">
        <x:v>MAT005</x:v>
      </x:c>
      <x:c r="D66" s="11" t="str">
        <x:v>Refacción crítica</x:v>
      </x:c>
      <x:c r="E66" s="11" t="n">
        <x:v>23</x:v>
      </x:c>
      <x:c r="F66" s="11" t="n">
        <x:v>5</x:v>
      </x:c>
      <x:c r="G66" s="16" t="b">
        <x:v>0</x:v>
      </x:c>
      <x:c r="H66" s="11" t="str">
        <x:v>Almacén MRO</x:v>
      </x:c>
    </x:row>
    <x:row r="67">
      <x:c r="A67" s="11" t="n">
        <x:v>66</x:v>
      </x:c>
      <x:c r="B67" s="11" t="str">
        <x:v>2026-08-09</x:v>
      </x:c>
      <x:c r="C67" s="11" t="str">
        <x:v>MAT001</x:v>
      </x:c>
      <x:c r="D67" s="11" t="str">
        <x:v>Resina A</x:v>
      </x:c>
      <x:c r="E67" s="11" t="n">
        <x:v>1441</x:v>
      </x:c>
      <x:c r="F67" s="11" t="n">
        <x:v>300</x:v>
      </x:c>
      <x:c r="G67" s="16" t="b">
        <x:v>0</x:v>
      </x:c>
      <x:c r="H67" s="11" t="str">
        <x:v>Almacén MP</x:v>
      </x:c>
    </x:row>
    <x:row r="68">
      <x:c r="A68" s="11" t="n">
        <x:v>67</x:v>
      </x:c>
      <x:c r="B68" s="11" t="str">
        <x:v>2026-08-09</x:v>
      </x:c>
      <x:c r="C68" s="11" t="str">
        <x:v>MAT002</x:v>
      </x:c>
      <x:c r="D68" s="11" t="str">
        <x:v>Cartón</x:v>
      </x:c>
      <x:c r="E68" s="11" t="n">
        <x:v>2038</x:v>
      </x:c>
      <x:c r="F68" s="11" t="n">
        <x:v>450</x:v>
      </x:c>
      <x:c r="G68" s="16" t="b">
        <x:v>0</x:v>
      </x:c>
      <x:c r="H68" s="11" t="str">
        <x:v>Almacén MRO</x:v>
      </x:c>
    </x:row>
    <x:row r="69">
      <x:c r="A69" s="11" t="n">
        <x:v>68</x:v>
      </x:c>
      <x:c r="B69" s="11" t="str">
        <x:v>2026-08-09</x:v>
      </x:c>
      <x:c r="C69" s="11" t="str">
        <x:v>MAT003</x:v>
      </x:c>
      <x:c r="D69" s="11" t="str">
        <x:v>Etiqueta</x:v>
      </x:c>
      <x:c r="E69" s="11" t="n">
        <x:v>3500</x:v>
      </x:c>
      <x:c r="F69" s="11" t="n">
        <x:v>700</x:v>
      </x:c>
      <x:c r="G69" s="16" t="b">
        <x:v>0</x:v>
      </x:c>
      <x:c r="H69" s="11" t="str">
        <x:v>Almacén MP</x:v>
      </x:c>
    </x:row>
    <x:row r="70">
      <x:c r="A70" s="11" t="n">
        <x:v>69</x:v>
      </x:c>
      <x:c r="B70" s="11" t="str">
        <x:v>2026-08-09</x:v>
      </x:c>
      <x:c r="C70" s="11" t="str">
        <x:v>MAT004</x:v>
      </x:c>
      <x:c r="D70" s="11" t="str">
        <x:v>Adhesivo</x:v>
      </x:c>
      <x:c r="E70" s="11" t="n">
        <x:v>831</x:v>
      </x:c>
      <x:c r="F70" s="11" t="n">
        <x:v>200</x:v>
      </x:c>
      <x:c r="G70" s="16" t="b">
        <x:v>0</x:v>
      </x:c>
      <x:c r="H70" s="11" t="str">
        <x:v>Almacén MP</x:v>
      </x:c>
    </x:row>
    <x:row r="71">
      <x:c r="A71" s="11" t="n">
        <x:v>70</x:v>
      </x:c>
      <x:c r="B71" s="11" t="str">
        <x:v>2026-08-09</x:v>
      </x:c>
      <x:c r="C71" s="11" t="str">
        <x:v>MAT005</x:v>
      </x:c>
      <x:c r="D71" s="11" t="str">
        <x:v>Refacción crítica</x:v>
      </x:c>
      <x:c r="E71" s="11" t="n">
        <x:v>21</x:v>
      </x:c>
      <x:c r="F71" s="11" t="n">
        <x:v>5</x:v>
      </x:c>
      <x:c r="G71" s="16" t="b">
        <x:v>0</x:v>
      </x:c>
      <x:c r="H71" s="11" t="str">
        <x:v>Almacén MRO</x:v>
      </x:c>
    </x:row>
    <x:row r="72">
      <x:c r="A72" s="11" t="n">
        <x:v>71</x:v>
      </x:c>
      <x:c r="B72" s="11" t="str">
        <x:v>2026-08-12</x:v>
      </x:c>
      <x:c r="C72" s="11" t="str">
        <x:v>MAT001</x:v>
      </x:c>
      <x:c r="D72" s="11" t="str">
        <x:v>Resina A</x:v>
      </x:c>
      <x:c r="E72" s="11" t="n">
        <x:v>1964</x:v>
      </x:c>
      <x:c r="F72" s="11" t="n">
        <x:v>300</x:v>
      </x:c>
      <x:c r="G72" s="16" t="b">
        <x:v>0</x:v>
      </x:c>
      <x:c r="H72" s="11" t="str">
        <x:v>Almacén MRO</x:v>
      </x:c>
    </x:row>
    <x:row r="73">
      <x:c r="A73" s="11" t="n">
        <x:v>72</x:v>
      </x:c>
      <x:c r="B73" s="11" t="str">
        <x:v>2026-08-12</x:v>
      </x:c>
      <x:c r="C73" s="11" t="str">
        <x:v>MAT002</x:v>
      </x:c>
      <x:c r="D73" s="11" t="str">
        <x:v>Cartón</x:v>
      </x:c>
      <x:c r="E73" s="11" t="n">
        <x:v>2608</x:v>
      </x:c>
      <x:c r="F73" s="11" t="n">
        <x:v>450</x:v>
      </x:c>
      <x:c r="G73" s="16" t="b">
        <x:v>0</x:v>
      </x:c>
      <x:c r="H73" s="11" t="str">
        <x:v>Almacén MRO</x:v>
      </x:c>
    </x:row>
    <x:row r="74">
      <x:c r="A74" s="11" t="n">
        <x:v>73</x:v>
      </x:c>
      <x:c r="B74" s="11" t="str">
        <x:v>2026-08-12</x:v>
      </x:c>
      <x:c r="C74" s="11" t="str">
        <x:v>MAT003</x:v>
      </x:c>
      <x:c r="D74" s="11" t="str">
        <x:v>Etiqueta</x:v>
      </x:c>
      <x:c r="E74" s="11" t="n">
        <x:v>3204</x:v>
      </x:c>
      <x:c r="F74" s="11" t="n">
        <x:v>700</x:v>
      </x:c>
      <x:c r="G74" s="16" t="b">
        <x:v>0</x:v>
      </x:c>
      <x:c r="H74" s="11" t="str">
        <x:v>Almacén MRO</x:v>
      </x:c>
    </x:row>
    <x:row r="75">
      <x:c r="A75" s="11" t="n">
        <x:v>74</x:v>
      </x:c>
      <x:c r="B75" s="11" t="str">
        <x:v>2026-08-12</x:v>
      </x:c>
      <x:c r="C75" s="11" t="str">
        <x:v>MAT004</x:v>
      </x:c>
      <x:c r="D75" s="11" t="str">
        <x:v>Adhesivo</x:v>
      </x:c>
      <x:c r="E75" s="11" t="n">
        <x:v>730</x:v>
      </x:c>
      <x:c r="F75" s="11" t="n">
        <x:v>200</x:v>
      </x:c>
      <x:c r="G75" s="16" t="b">
        <x:v>0</x:v>
      </x:c>
      <x:c r="H75" s="11" t="str">
        <x:v>Almacén MRO</x:v>
      </x:c>
    </x:row>
    <x:row r="76">
      <x:c r="A76" s="11" t="n">
        <x:v>75</x:v>
      </x:c>
      <x:c r="B76" s="11" t="str">
        <x:v>2026-08-12</x:v>
      </x:c>
      <x:c r="C76" s="11" t="str">
        <x:v>MAT005</x:v>
      </x:c>
      <x:c r="D76" s="11" t="str">
        <x:v>Refacción crítica</x:v>
      </x:c>
      <x:c r="E76" s="11" t="n">
        <x:v>24</x:v>
      </x:c>
      <x:c r="F76" s="11" t="n">
        <x:v>5</x:v>
      </x:c>
      <x:c r="G76" s="16" t="b">
        <x:v>0</x:v>
      </x:c>
      <x:c r="H76" s="11" t="str">
        <x:v>Almacén MRO</x:v>
      </x:c>
    </x:row>
    <x:row r="77">
      <x:c r="A77" s="11" t="n">
        <x:v>76</x:v>
      </x:c>
      <x:c r="B77" s="11" t="str">
        <x:v>2026-08-15</x:v>
      </x:c>
      <x:c r="C77" s="11" t="str">
        <x:v>MAT001</x:v>
      </x:c>
      <x:c r="D77" s="11" t="str">
        <x:v>Resina A</x:v>
      </x:c>
      <x:c r="E77" s="11" t="n">
        <x:v>1761</x:v>
      </x:c>
      <x:c r="F77" s="11" t="n">
        <x:v>300</x:v>
      </x:c>
      <x:c r="G77" s="16" t="b">
        <x:v>0</x:v>
      </x:c>
      <x:c r="H77" s="11" t="str">
        <x:v>Almacén MRO</x:v>
      </x:c>
    </x:row>
    <x:row r="78">
      <x:c r="A78" s="11" t="n">
        <x:v>77</x:v>
      </x:c>
      <x:c r="B78" s="11" t="str">
        <x:v>2026-08-15</x:v>
      </x:c>
      <x:c r="C78" s="11" t="str">
        <x:v>MAT002</x:v>
      </x:c>
      <x:c r="D78" s="11" t="str">
        <x:v>Cartón</x:v>
      </x:c>
      <x:c r="E78" s="11" t="n">
        <x:v>1339</x:v>
      </x:c>
      <x:c r="F78" s="11" t="n">
        <x:v>450</x:v>
      </x:c>
      <x:c r="G78" s="16" t="b">
        <x:v>0</x:v>
      </x:c>
      <x:c r="H78" s="11" t="str">
        <x:v>Almacén MRO</x:v>
      </x:c>
    </x:row>
    <x:row r="79">
      <x:c r="A79" s="11" t="n">
        <x:v>78</x:v>
      </x:c>
      <x:c r="B79" s="11" t="str">
        <x:v>2026-08-15</x:v>
      </x:c>
      <x:c r="C79" s="11" t="str">
        <x:v>MAT003</x:v>
      </x:c>
      <x:c r="D79" s="11" t="str">
        <x:v>Etiqueta</x:v>
      </x:c>
      <x:c r="E79" s="11" t="n">
        <x:v>2184</x:v>
      </x:c>
      <x:c r="F79" s="11" t="n">
        <x:v>700</x:v>
      </x:c>
      <x:c r="G79" s="16" t="b">
        <x:v>0</x:v>
      </x:c>
      <x:c r="H79" s="11" t="str">
        <x:v>Almacén MRO</x:v>
      </x:c>
    </x:row>
    <x:row r="80">
      <x:c r="A80" s="11" t="n">
        <x:v>79</x:v>
      </x:c>
      <x:c r="B80" s="11" t="str">
        <x:v>2026-08-15</x:v>
      </x:c>
      <x:c r="C80" s="11" t="str">
        <x:v>MAT004</x:v>
      </x:c>
      <x:c r="D80" s="11" t="str">
        <x:v>Adhesivo</x:v>
      </x:c>
      <x:c r="E80" s="11" t="n">
        <x:v>583</x:v>
      </x:c>
      <x:c r="F80" s="11" t="n">
        <x:v>200</x:v>
      </x:c>
      <x:c r="G80" s="16" t="b">
        <x:v>0</x:v>
      </x:c>
      <x:c r="H80" s="11" t="str">
        <x:v>Almacén MP</x:v>
      </x:c>
    </x:row>
    <x:row r="81">
      <x:c r="A81" s="11" t="n">
        <x:v>80</x:v>
      </x:c>
      <x:c r="B81" s="11" t="str">
        <x:v>2026-08-15</x:v>
      </x:c>
      <x:c r="C81" s="11" t="str">
        <x:v>MAT005</x:v>
      </x:c>
      <x:c r="D81" s="11" t="str">
        <x:v>Refacción crítica</x:v>
      </x:c>
      <x:c r="E81" s="11" t="n">
        <x:v>27</x:v>
      </x:c>
      <x:c r="F81" s="11" t="n">
        <x:v>5</x:v>
      </x:c>
      <x:c r="G81" s="16" t="b">
        <x:v>0</x:v>
      </x:c>
      <x:c r="H81" s="11" t="str">
        <x:v>Almacén MRO</x:v>
      </x:c>
    </x:row>
    <x:row r="82">
      <x:c r="A82" s="11" t="n">
        <x:v>81</x:v>
      </x:c>
      <x:c r="B82" s="11" t="str">
        <x:v>2026-08-18</x:v>
      </x:c>
      <x:c r="C82" s="11" t="str">
        <x:v>MAT001</x:v>
      </x:c>
      <x:c r="D82" s="11" t="str">
        <x:v>Resina A</x:v>
      </x:c>
      <x:c r="E82" s="11" t="n">
        <x:v>1510</x:v>
      </x:c>
      <x:c r="F82" s="11" t="n">
        <x:v>300</x:v>
      </x:c>
      <x:c r="G82" s="16" t="b">
        <x:v>0</x:v>
      </x:c>
      <x:c r="H82" s="11" t="str">
        <x:v>Almacén MP</x:v>
      </x:c>
    </x:row>
    <x:row r="83">
      <x:c r="A83" s="11" t="n">
        <x:v>82</x:v>
      </x:c>
      <x:c r="B83" s="11" t="str">
        <x:v>2026-08-18</x:v>
      </x:c>
      <x:c r="C83" s="11" t="str">
        <x:v>MAT002</x:v>
      </x:c>
      <x:c r="D83" s="11" t="str">
        <x:v>Cartón</x:v>
      </x:c>
      <x:c r="E83" s="11" t="n">
        <x:v>2400</x:v>
      </x:c>
      <x:c r="F83" s="11" t="n">
        <x:v>450</x:v>
      </x:c>
      <x:c r="G83" s="16" t="b">
        <x:v>0</x:v>
      </x:c>
      <x:c r="H83" s="11" t="str">
        <x:v>Almacén MRO</x:v>
      </x:c>
    </x:row>
    <x:row r="84">
      <x:c r="A84" s="11" t="n">
        <x:v>83</x:v>
      </x:c>
      <x:c r="B84" s="11" t="str">
        <x:v>2026-08-18</x:v>
      </x:c>
      <x:c r="C84" s="11" t="str">
        <x:v>MAT003</x:v>
      </x:c>
      <x:c r="D84" s="11" t="str">
        <x:v>Etiqueta</x:v>
      </x:c>
      <x:c r="E84" s="11" t="n">
        <x:v>3551</x:v>
      </x:c>
      <x:c r="F84" s="11" t="n">
        <x:v>700</x:v>
      </x:c>
      <x:c r="G84" s="16" t="b">
        <x:v>0</x:v>
      </x:c>
      <x:c r="H84" s="11" t="str">
        <x:v>Almacén MP</x:v>
      </x:c>
    </x:row>
    <x:row r="85">
      <x:c r="A85" s="11" t="n">
        <x:v>84</x:v>
      </x:c>
      <x:c r="B85" s="11" t="str">
        <x:v>2026-08-18</x:v>
      </x:c>
      <x:c r="C85" s="11" t="str">
        <x:v>MAT004</x:v>
      </x:c>
      <x:c r="D85" s="11" t="str">
        <x:v>Adhesivo</x:v>
      </x:c>
      <x:c r="E85" s="11" t="n">
        <x:v>706</x:v>
      </x:c>
      <x:c r="F85" s="11" t="n">
        <x:v>200</x:v>
      </x:c>
      <x:c r="G85" s="16" t="b">
        <x:v>0</x:v>
      </x:c>
      <x:c r="H85" s="11" t="str">
        <x:v>Almacén MRO</x:v>
      </x:c>
    </x:row>
    <x:row r="86">
      <x:c r="A86" s="11" t="n">
        <x:v>85</x:v>
      </x:c>
      <x:c r="B86" s="11" t="str">
        <x:v>2026-08-18</x:v>
      </x:c>
      <x:c r="C86" s="11" t="str">
        <x:v>MAT005</x:v>
      </x:c>
      <x:c r="D86" s="11" t="str">
        <x:v>Refacción crítica</x:v>
      </x:c>
      <x:c r="E86" s="11" t="n">
        <x:v>23</x:v>
      </x:c>
      <x:c r="F86" s="11" t="n">
        <x:v>5</x:v>
      </x:c>
      <x:c r="G86" s="16" t="b">
        <x:v>0</x:v>
      </x:c>
      <x:c r="H86" s="11" t="str">
        <x:v>Almacén MRO</x:v>
      </x:c>
    </x:row>
    <x:row r="87">
      <x:c r="A87" s="11" t="n">
        <x:v>86</x:v>
      </x:c>
      <x:c r="B87" s="11" t="str">
        <x:v>2026-08-21</x:v>
      </x:c>
      <x:c r="C87" s="11" t="str">
        <x:v>MAT001</x:v>
      </x:c>
      <x:c r="D87" s="11" t="str">
        <x:v>Resina A</x:v>
      </x:c>
      <x:c r="E87" s="11" t="n">
        <x:v>1488</x:v>
      </x:c>
      <x:c r="F87" s="11" t="n">
        <x:v>300</x:v>
      </x:c>
      <x:c r="G87" s="16" t="b">
        <x:v>0</x:v>
      </x:c>
      <x:c r="H87" s="11" t="str">
        <x:v>Almacén MRO</x:v>
      </x:c>
    </x:row>
    <x:row r="88">
      <x:c r="A88" s="11" t="n">
        <x:v>87</x:v>
      </x:c>
      <x:c r="B88" s="11" t="str">
        <x:v>2026-08-21</x:v>
      </x:c>
      <x:c r="C88" s="11" t="str">
        <x:v>MAT002</x:v>
      </x:c>
      <x:c r="D88" s="11" t="str">
        <x:v>Cartón</x:v>
      </x:c>
      <x:c r="E88" s="11" t="n">
        <x:v>2173</x:v>
      </x:c>
      <x:c r="F88" s="11" t="n">
        <x:v>450</x:v>
      </x:c>
      <x:c r="G88" s="16" t="b">
        <x:v>0</x:v>
      </x:c>
      <x:c r="H88" s="11" t="str">
        <x:v>Almacén MP</x:v>
      </x:c>
    </x:row>
    <x:row r="89">
      <x:c r="A89" s="11" t="n">
        <x:v>88</x:v>
      </x:c>
      <x:c r="B89" s="11" t="str">
        <x:v>2026-08-21</x:v>
      </x:c>
      <x:c r="C89" s="11" t="str">
        <x:v>MAT003</x:v>
      </x:c>
      <x:c r="D89" s="11" t="str">
        <x:v>Etiqueta</x:v>
      </x:c>
      <x:c r="E89" s="11" t="n">
        <x:v>2645</x:v>
      </x:c>
      <x:c r="F89" s="11" t="n">
        <x:v>700</x:v>
      </x:c>
      <x:c r="G89" s="16" t="b">
        <x:v>0</x:v>
      </x:c>
      <x:c r="H89" s="11" t="str">
        <x:v>Almacén MRO</x:v>
      </x:c>
    </x:row>
    <x:row r="90">
      <x:c r="A90" s="11" t="n">
        <x:v>89</x:v>
      </x:c>
      <x:c r="B90" s="11" t="str">
        <x:v>2026-08-21</x:v>
      </x:c>
      <x:c r="C90" s="11" t="str">
        <x:v>MAT004</x:v>
      </x:c>
      <x:c r="D90" s="11" t="str">
        <x:v>Adhesivo</x:v>
      </x:c>
      <x:c r="E90" s="11" t="n">
        <x:v>618</x:v>
      </x:c>
      <x:c r="F90" s="11" t="n">
        <x:v>200</x:v>
      </x:c>
      <x:c r="G90" s="16" t="b">
        <x:v>0</x:v>
      </x:c>
      <x:c r="H90" s="11" t="str">
        <x:v>Almacén MRO</x:v>
      </x:c>
    </x:row>
    <x:row r="91">
      <x:c r="A91" s="11" t="n">
        <x:v>90</x:v>
      </x:c>
      <x:c r="B91" s="11" t="str">
        <x:v>2026-08-21</x:v>
      </x:c>
      <x:c r="C91" s="11" t="str">
        <x:v>MAT005</x:v>
      </x:c>
      <x:c r="D91" s="11" t="str">
        <x:v>Refacción crítica</x:v>
      </x:c>
      <x:c r="E91" s="11" t="n">
        <x:v>20</x:v>
      </x:c>
      <x:c r="F91" s="11" t="n">
        <x:v>5</x:v>
      </x:c>
      <x:c r="G91" s="16" t="b">
        <x:v>0</x:v>
      </x:c>
      <x:c r="H91" s="11" t="str">
        <x:v>Almacén MP</x:v>
      </x:c>
    </x:row>
    <x:row r="92">
      <x:c r="A92" s="11" t="n">
        <x:v>91</x:v>
      </x:c>
      <x:c r="B92" s="11" t="str">
        <x:v>2026-08-24</x:v>
      </x:c>
      <x:c r="C92" s="11" t="str">
        <x:v>MAT001</x:v>
      </x:c>
      <x:c r="D92" s="11" t="str">
        <x:v>Resina A</x:v>
      </x:c>
      <x:c r="E92" s="11" t="n">
        <x:v>1809</x:v>
      </x:c>
      <x:c r="F92" s="11" t="n">
        <x:v>300</x:v>
      </x:c>
      <x:c r="G92" s="16" t="b">
        <x:v>0</x:v>
      </x:c>
      <x:c r="H92" s="11" t="str">
        <x:v>Almacén MRO</x:v>
      </x:c>
    </x:row>
    <x:row r="93">
      <x:c r="A93" s="11" t="n">
        <x:v>92</x:v>
      </x:c>
      <x:c r="B93" s="11" t="str">
        <x:v>2026-08-24</x:v>
      </x:c>
      <x:c r="C93" s="11" t="str">
        <x:v>MAT002</x:v>
      </x:c>
      <x:c r="D93" s="11" t="str">
        <x:v>Cartón</x:v>
      </x:c>
      <x:c r="E93" s="11" t="n">
        <x:v>1375</x:v>
      </x:c>
      <x:c r="F93" s="11" t="n">
        <x:v>450</x:v>
      </x:c>
      <x:c r="G93" s="16" t="b">
        <x:v>0</x:v>
      </x:c>
      <x:c r="H93" s="11" t="str">
        <x:v>Almacén MRO</x:v>
      </x:c>
    </x:row>
    <x:row r="94">
      <x:c r="A94" s="11" t="n">
        <x:v>93</x:v>
      </x:c>
      <x:c r="B94" s="11" t="str">
        <x:v>2026-08-24</x:v>
      </x:c>
      <x:c r="C94" s="11" t="str">
        <x:v>MAT003</x:v>
      </x:c>
      <x:c r="D94" s="11" t="str">
        <x:v>Etiqueta</x:v>
      </x:c>
      <x:c r="E94" s="11" t="n">
        <x:v>4138</x:v>
      </x:c>
      <x:c r="F94" s="11" t="n">
        <x:v>700</x:v>
      </x:c>
      <x:c r="G94" s="16" t="b">
        <x:v>0</x:v>
      </x:c>
      <x:c r="H94" s="11" t="str">
        <x:v>Almacén MP</x:v>
      </x:c>
    </x:row>
    <x:row r="95">
      <x:c r="A95" s="11" t="n">
        <x:v>94</x:v>
      </x:c>
      <x:c r="B95" s="11" t="str">
        <x:v>2026-08-24</x:v>
      </x:c>
      <x:c r="C95" s="11" t="str">
        <x:v>MAT004</x:v>
      </x:c>
      <x:c r="D95" s="11" t="str">
        <x:v>Adhesivo</x:v>
      </x:c>
      <x:c r="E95" s="11" t="n">
        <x:v>837</x:v>
      </x:c>
      <x:c r="F95" s="11" t="n">
        <x:v>200</x:v>
      </x:c>
      <x:c r="G95" s="16" t="b">
        <x:v>0</x:v>
      </x:c>
      <x:c r="H95" s="11" t="str">
        <x:v>Almacén MP</x:v>
      </x:c>
    </x:row>
    <x:row r="96">
      <x:c r="A96" s="11" t="n">
        <x:v>95</x:v>
      </x:c>
      <x:c r="B96" s="11" t="str">
        <x:v>2026-08-24</x:v>
      </x:c>
      <x:c r="C96" s="11" t="str">
        <x:v>MAT005</x:v>
      </x:c>
      <x:c r="D96" s="11" t="str">
        <x:v>Refacción crítica</x:v>
      </x:c>
      <x:c r="E96" s="11" t="n">
        <x:v>17</x:v>
      </x:c>
      <x:c r="F96" s="11" t="n">
        <x:v>5</x:v>
      </x:c>
      <x:c r="G96" s="16" t="b">
        <x:v>0</x:v>
      </x:c>
      <x:c r="H96" s="11" t="str">
        <x:v>Almacén MP</x:v>
      </x:c>
    </x:row>
    <x:row r="97">
      <x:c r="A97" s="11" t="n">
        <x:v>96</x:v>
      </x:c>
      <x:c r="B97" s="11" t="str">
        <x:v>2026-08-27</x:v>
      </x:c>
      <x:c r="C97" s="11" t="str">
        <x:v>MAT001</x:v>
      </x:c>
      <x:c r="D97" s="11" t="str">
        <x:v>Resina A</x:v>
      </x:c>
      <x:c r="E97" s="11" t="n">
        <x:v>1877</x:v>
      </x:c>
      <x:c r="F97" s="11" t="n">
        <x:v>300</x:v>
      </x:c>
      <x:c r="G97" s="16" t="b">
        <x:v>0</x:v>
      </x:c>
      <x:c r="H97" s="11" t="str">
        <x:v>Almacén MP</x:v>
      </x:c>
    </x:row>
    <x:row r="98">
      <x:c r="A98" s="11" t="n">
        <x:v>97</x:v>
      </x:c>
      <x:c r="B98" s="11" t="str">
        <x:v>2026-08-27</x:v>
      </x:c>
      <x:c r="C98" s="11" t="str">
        <x:v>MAT002</x:v>
      </x:c>
      <x:c r="D98" s="11" t="str">
        <x:v>Cartón</x:v>
      </x:c>
      <x:c r="E98" s="11" t="n">
        <x:v>1609</x:v>
      </x:c>
      <x:c r="F98" s="11" t="n">
        <x:v>450</x:v>
      </x:c>
      <x:c r="G98" s="16" t="b">
        <x:v>0</x:v>
      </x:c>
      <x:c r="H98" s="11" t="str">
        <x:v>Almacén MP</x:v>
      </x:c>
    </x:row>
    <x:row r="99">
      <x:c r="A99" s="11" t="n">
        <x:v>98</x:v>
      </x:c>
      <x:c r="B99" s="11" t="str">
        <x:v>2026-08-27</x:v>
      </x:c>
      <x:c r="C99" s="11" t="str">
        <x:v>MAT003</x:v>
      </x:c>
      <x:c r="D99" s="11" t="str">
        <x:v>Etiqueta</x:v>
      </x:c>
      <x:c r="E99" s="11" t="n">
        <x:v>3231</x:v>
      </x:c>
      <x:c r="F99" s="11" t="n">
        <x:v>700</x:v>
      </x:c>
      <x:c r="G99" s="16" t="b">
        <x:v>0</x:v>
      </x:c>
      <x:c r="H99" s="11" t="str">
        <x:v>Almacén MRO</x:v>
      </x:c>
    </x:row>
    <x:row r="100">
      <x:c r="A100" s="11" t="n">
        <x:v>99</x:v>
      </x:c>
      <x:c r="B100" s="11" t="str">
        <x:v>2026-08-27</x:v>
      </x:c>
      <x:c r="C100" s="11" t="str">
        <x:v>MAT004</x:v>
      </x:c>
      <x:c r="D100" s="11" t="str">
        <x:v>Adhesivo</x:v>
      </x:c>
      <x:c r="E100" s="11" t="n">
        <x:v>850</x:v>
      </x:c>
      <x:c r="F100" s="11" t="n">
        <x:v>200</x:v>
      </x:c>
      <x:c r="G100" s="16" t="b">
        <x:v>0</x:v>
      </x:c>
      <x:c r="H100" s="11" t="str">
        <x:v>Almacén MP</x:v>
      </x:c>
    </x:row>
    <x:row r="101">
      <x:c r="A101" s="11" t="n">
        <x:v>100</x:v>
      </x:c>
      <x:c r="B101" s="11" t="str">
        <x:v>2026-08-27</x:v>
      </x:c>
      <x:c r="C101" s="11" t="str">
        <x:v>MAT005</x:v>
      </x:c>
      <x:c r="D101" s="11" t="str">
        <x:v>Refacción crítica</x:v>
      </x:c>
      <x:c r="E101" s="11" t="n">
        <x:v>27</x:v>
      </x:c>
      <x:c r="F101" s="11" t="n">
        <x:v>5</x:v>
      </x:c>
      <x:c r="G101" s="16" t="b">
        <x:v>0</x:v>
      </x:c>
      <x:c r="H101" s="11" t="str">
        <x:v>Almacén MRO</x:v>
      </x:c>
    </x:row>
    <x:row r="102">
      <x:c r="A102" s="11" t="n">
        <x:v>101</x:v>
      </x:c>
      <x:c r="B102" s="11" t="str">
        <x:v>2026-08-30</x:v>
      </x:c>
      <x:c r="C102" s="11" t="str">
        <x:v>MAT001</x:v>
      </x:c>
      <x:c r="D102" s="11" t="str">
        <x:v>Resina A</x:v>
      </x:c>
      <x:c r="E102" s="11" t="n">
        <x:v>1092</x:v>
      </x:c>
      <x:c r="F102" s="11" t="n">
        <x:v>300</x:v>
      </x:c>
      <x:c r="G102" s="16" t="b">
        <x:v>0</x:v>
      </x:c>
      <x:c r="H102" s="11" t="str">
        <x:v>Almacén MP</x:v>
      </x:c>
    </x:row>
    <x:row r="103">
      <x:c r="A103" s="11" t="n">
        <x:v>102</x:v>
      </x:c>
      <x:c r="B103" s="11" t="str">
        <x:v>2026-08-30</x:v>
      </x:c>
      <x:c r="C103" s="11" t="str">
        <x:v>MAT002</x:v>
      </x:c>
      <x:c r="D103" s="11" t="str">
        <x:v>Cartón</x:v>
      </x:c>
      <x:c r="E103" s="11" t="n">
        <x:v>2210</x:v>
      </x:c>
      <x:c r="F103" s="11" t="n">
        <x:v>450</x:v>
      </x:c>
      <x:c r="G103" s="16" t="b">
        <x:v>0</x:v>
      </x:c>
      <x:c r="H103" s="11" t="str">
        <x:v>Almacén MP</x:v>
      </x:c>
    </x:row>
    <x:row r="104">
      <x:c r="A104" s="11" t="n">
        <x:v>103</x:v>
      </x:c>
      <x:c r="B104" s="11" t="str">
        <x:v>2026-08-30</x:v>
      </x:c>
      <x:c r="C104" s="11" t="str">
        <x:v>MAT003</x:v>
      </x:c>
      <x:c r="D104" s="11" t="str">
        <x:v>Etiqueta</x:v>
      </x:c>
      <x:c r="E104" s="11" t="n">
        <x:v>3884</x:v>
      </x:c>
      <x:c r="F104" s="11" t="n">
        <x:v>700</x:v>
      </x:c>
      <x:c r="G104" s="16" t="b">
        <x:v>0</x:v>
      </x:c>
      <x:c r="H104" s="11" t="str">
        <x:v>Almacén MP</x:v>
      </x:c>
    </x:row>
    <x:row r="105">
      <x:c r="A105" s="11" t="n">
        <x:v>104</x:v>
      </x:c>
      <x:c r="B105" s="11" t="str">
        <x:v>2026-08-30</x:v>
      </x:c>
      <x:c r="C105" s="11" t="str">
        <x:v>MAT004</x:v>
      </x:c>
      <x:c r="D105" s="11" t="str">
        <x:v>Adhesivo</x:v>
      </x:c>
      <x:c r="E105" s="11" t="n">
        <x:v>627</x:v>
      </x:c>
      <x:c r="F105" s="11" t="n">
        <x:v>200</x:v>
      </x:c>
      <x:c r="G105" s="16" t="b">
        <x:v>0</x:v>
      </x:c>
      <x:c r="H105" s="11" t="str">
        <x:v>Almacén MP</x:v>
      </x:c>
    </x:row>
    <x:row r="106">
      <x:c r="A106" s="11" t="n">
        <x:v>105</x:v>
      </x:c>
      <x:c r="B106" s="11" t="str">
        <x:v>2026-08-30</x:v>
      </x:c>
      <x:c r="C106" s="11" t="str">
        <x:v>MAT005</x:v>
      </x:c>
      <x:c r="D106" s="11" t="str">
        <x:v>Refacción crítica</x:v>
      </x:c>
      <x:c r="E106" s="11" t="n">
        <x:v>22</x:v>
      </x:c>
      <x:c r="F106" s="11" t="n">
        <x:v>5</x:v>
      </x:c>
      <x:c r="G106" s="16" t="b">
        <x:v>0</x:v>
      </x:c>
      <x:c r="H106" s="11" t="str">
        <x:v>Almacén MRO</x:v>
      </x:c>
    </x:row>
    <x:row r="107">
      <x:c r="A107" s="11" t="n">
        <x:v>106</x:v>
      </x:c>
      <x:c r="B107" s="11" t="str">
        <x:v>2026-09-02</x:v>
      </x:c>
      <x:c r="C107" s="11" t="str">
        <x:v>MAT001</x:v>
      </x:c>
      <x:c r="D107" s="11" t="str">
        <x:v>Resina A</x:v>
      </x:c>
      <x:c r="E107" s="11" t="n">
        <x:v>1876</x:v>
      </x:c>
      <x:c r="F107" s="11" t="n">
        <x:v>300</x:v>
      </x:c>
      <x:c r="G107" s="16" t="b">
        <x:v>0</x:v>
      </x:c>
      <x:c r="H107" s="11" t="str">
        <x:v>Almacén MP</x:v>
      </x:c>
    </x:row>
    <x:row r="108">
      <x:c r="A108" s="11" t="n">
        <x:v>107</x:v>
      </x:c>
      <x:c r="B108" s="11" t="str">
        <x:v>2026-09-02</x:v>
      </x:c>
      <x:c r="C108" s="11" t="str">
        <x:v>MAT002</x:v>
      </x:c>
      <x:c r="D108" s="11" t="str">
        <x:v>Cartón</x:v>
      </x:c>
      <x:c r="E108" s="11" t="n">
        <x:v>1812</x:v>
      </x:c>
      <x:c r="F108" s="11" t="n">
        <x:v>450</x:v>
      </x:c>
      <x:c r="G108" s="16" t="b">
        <x:v>0</x:v>
      </x:c>
      <x:c r="H108" s="11" t="str">
        <x:v>Almacén MRO</x:v>
      </x:c>
    </x:row>
    <x:row r="109">
      <x:c r="A109" s="11" t="n">
        <x:v>108</x:v>
      </x:c>
      <x:c r="B109" s="11" t="str">
        <x:v>2026-09-02</x:v>
      </x:c>
      <x:c r="C109" s="11" t="str">
        <x:v>MAT003</x:v>
      </x:c>
      <x:c r="D109" s="11" t="str">
        <x:v>Etiqueta</x:v>
      </x:c>
      <x:c r="E109" s="11" t="n">
        <x:v>2718</x:v>
      </x:c>
      <x:c r="F109" s="11" t="n">
        <x:v>700</x:v>
      </x:c>
      <x:c r="G109" s="16" t="b">
        <x:v>0</x:v>
      </x:c>
      <x:c r="H109" s="11" t="str">
        <x:v>Almacén MP</x:v>
      </x:c>
    </x:row>
    <x:row r="110">
      <x:c r="A110" s="11" t="n">
        <x:v>109</x:v>
      </x:c>
      <x:c r="B110" s="11" t="str">
        <x:v>2026-09-02</x:v>
      </x:c>
      <x:c r="C110" s="11" t="str">
        <x:v>MAT004</x:v>
      </x:c>
      <x:c r="D110" s="11" t="str">
        <x:v>Adhesivo</x:v>
      </x:c>
      <x:c r="E110" s="11" t="n">
        <x:v>524</x:v>
      </x:c>
      <x:c r="F110" s="11" t="n">
        <x:v>200</x:v>
      </x:c>
      <x:c r="G110" s="16" t="b">
        <x:v>0</x:v>
      </x:c>
      <x:c r="H110" s="11" t="str">
        <x:v>Almacén MP</x:v>
      </x:c>
    </x:row>
    <x:row r="111">
      <x:c r="A111" s="11" t="n">
        <x:v>110</x:v>
      </x:c>
      <x:c r="B111" s="11" t="str">
        <x:v>2026-09-02</x:v>
      </x:c>
      <x:c r="C111" s="11" t="str">
        <x:v>MAT005</x:v>
      </x:c>
      <x:c r="D111" s="11" t="str">
        <x:v>Refacción crítica</x:v>
      </x:c>
      <x:c r="E111" s="11" t="n">
        <x:v>24</x:v>
      </x:c>
      <x:c r="F111" s="11" t="n">
        <x:v>5</x:v>
      </x:c>
      <x:c r="G111" s="16" t="b">
        <x:v>0</x:v>
      </x:c>
      <x:c r="H111" s="11" t="str">
        <x:v>Almacén MRO</x:v>
      </x:c>
    </x:row>
    <x:row r="112">
      <x:c r="A112" s="11" t="n">
        <x:v>111</x:v>
      </x:c>
      <x:c r="B112" s="11" t="str">
        <x:v>2026-09-05</x:v>
      </x:c>
      <x:c r="C112" s="11" t="str">
        <x:v>MAT001</x:v>
      </x:c>
      <x:c r="D112" s="11" t="str">
        <x:v>Resina A</x:v>
      </x:c>
      <x:c r="E112" s="11" t="n">
        <x:v>1321</x:v>
      </x:c>
      <x:c r="F112" s="11" t="n">
        <x:v>300</x:v>
      </x:c>
      <x:c r="G112" s="16" t="b">
        <x:v>0</x:v>
      </x:c>
      <x:c r="H112" s="11" t="str">
        <x:v>Almacén MP</x:v>
      </x:c>
    </x:row>
    <x:row r="113">
      <x:c r="A113" s="11" t="n">
        <x:v>112</x:v>
      </x:c>
      <x:c r="B113" s="11" t="str">
        <x:v>2026-09-05</x:v>
      </x:c>
      <x:c r="C113" s="11" t="str">
        <x:v>MAT002</x:v>
      </x:c>
      <x:c r="D113" s="11" t="str">
        <x:v>Cartón</x:v>
      </x:c>
      <x:c r="E113" s="11" t="n">
        <x:v>2300</x:v>
      </x:c>
      <x:c r="F113" s="11" t="n">
        <x:v>450</x:v>
      </x:c>
      <x:c r="G113" s="16" t="b">
        <x:v>0</x:v>
      </x:c>
      <x:c r="H113" s="11" t="str">
        <x:v>Almacén MP</x:v>
      </x:c>
    </x:row>
    <x:row r="114">
      <x:c r="A114" s="11" t="n">
        <x:v>113</x:v>
      </x:c>
      <x:c r="B114" s="11" t="str">
        <x:v>2026-09-05</x:v>
      </x:c>
      <x:c r="C114" s="11" t="str">
        <x:v>MAT003</x:v>
      </x:c>
      <x:c r="D114" s="11" t="str">
        <x:v>Etiqueta</x:v>
      </x:c>
      <x:c r="E114" s="11" t="n">
        <x:v>2956</x:v>
      </x:c>
      <x:c r="F114" s="11" t="n">
        <x:v>700</x:v>
      </x:c>
      <x:c r="G114" s="16" t="b">
        <x:v>0</x:v>
      </x:c>
      <x:c r="H114" s="11" t="str">
        <x:v>Almacén MP</x:v>
      </x:c>
    </x:row>
    <x:row r="115">
      <x:c r="A115" s="11" t="n">
        <x:v>114</x:v>
      </x:c>
      <x:c r="B115" s="11" t="str">
        <x:v>2026-09-05</x:v>
      </x:c>
      <x:c r="C115" s="11" t="str">
        <x:v>MAT004</x:v>
      </x:c>
      <x:c r="D115" s="11" t="str">
        <x:v>Adhesivo</x:v>
      </x:c>
      <x:c r="E115" s="11" t="n">
        <x:v>758</x:v>
      </x:c>
      <x:c r="F115" s="11" t="n">
        <x:v>200</x:v>
      </x:c>
      <x:c r="G115" s="16" t="b">
        <x:v>0</x:v>
      </x:c>
      <x:c r="H115" s="11" t="str">
        <x:v>Almacén MRO</x:v>
      </x:c>
    </x:row>
    <x:row r="116">
      <x:c r="A116" s="11" t="n">
        <x:v>115</x:v>
      </x:c>
      <x:c r="B116" s="11" t="str">
        <x:v>2026-09-05</x:v>
      </x:c>
      <x:c r="C116" s="11" t="str">
        <x:v>MAT005</x:v>
      </x:c>
      <x:c r="D116" s="11" t="str">
        <x:v>Refacción crítica</x:v>
      </x:c>
      <x:c r="E116" s="11" t="n">
        <x:v>17</x:v>
      </x:c>
      <x:c r="F116" s="11" t="n">
        <x:v>5</x:v>
      </x:c>
      <x:c r="G116" s="16" t="b">
        <x:v>0</x:v>
      </x:c>
      <x:c r="H116" s="11" t="str">
        <x:v>Almacén MRO</x:v>
      </x:c>
    </x:row>
    <x:row r="117">
      <x:c r="A117" s="11" t="n">
        <x:v>116</x:v>
      </x:c>
      <x:c r="B117" s="11" t="str">
        <x:v>2026-09-08</x:v>
      </x:c>
      <x:c r="C117" s="11" t="str">
        <x:v>MAT001</x:v>
      </x:c>
      <x:c r="D117" s="11" t="str">
        <x:v>Resina A</x:v>
      </x:c>
      <x:c r="E117" s="11" t="n">
        <x:v>1568</x:v>
      </x:c>
      <x:c r="F117" s="11" t="n">
        <x:v>300</x:v>
      </x:c>
      <x:c r="G117" s="16" t="b">
        <x:v>0</x:v>
      </x:c>
      <x:c r="H117" s="11" t="str">
        <x:v>Almacén MP</x:v>
      </x:c>
    </x:row>
    <x:row r="118">
      <x:c r="A118" s="11" t="n">
        <x:v>117</x:v>
      </x:c>
      <x:c r="B118" s="11" t="str">
        <x:v>2026-09-08</x:v>
      </x:c>
      <x:c r="C118" s="11" t="str">
        <x:v>MAT002</x:v>
      </x:c>
      <x:c r="D118" s="11" t="str">
        <x:v>Cartón</x:v>
      </x:c>
      <x:c r="E118" s="11" t="n">
        <x:v>1937</x:v>
      </x:c>
      <x:c r="F118" s="11" t="n">
        <x:v>450</x:v>
      </x:c>
      <x:c r="G118" s="16" t="b">
        <x:v>0</x:v>
      </x:c>
      <x:c r="H118" s="11" t="str">
        <x:v>Almacén MRO</x:v>
      </x:c>
    </x:row>
    <x:row r="119">
      <x:c r="A119" s="11" t="n">
        <x:v>118</x:v>
      </x:c>
      <x:c r="B119" s="11" t="str">
        <x:v>2026-09-08</x:v>
      </x:c>
      <x:c r="C119" s="11" t="str">
        <x:v>MAT003</x:v>
      </x:c>
      <x:c r="D119" s="11" t="str">
        <x:v>Etiqueta</x:v>
      </x:c>
      <x:c r="E119" s="11" t="n">
        <x:v>3731</x:v>
      </x:c>
      <x:c r="F119" s="11" t="n">
        <x:v>700</x:v>
      </x:c>
      <x:c r="G119" s="16" t="b">
        <x:v>0</x:v>
      </x:c>
      <x:c r="H119" s="11" t="str">
        <x:v>Almacén MP</x:v>
      </x:c>
    </x:row>
    <x:row r="120">
      <x:c r="A120" s="11" t="n">
        <x:v>119</x:v>
      </x:c>
      <x:c r="B120" s="11" t="str">
        <x:v>2026-09-08</x:v>
      </x:c>
      <x:c r="C120" s="11" t="str">
        <x:v>MAT004</x:v>
      </x:c>
      <x:c r="D120" s="11" t="str">
        <x:v>Adhesivo</x:v>
      </x:c>
      <x:c r="E120" s="11" t="n">
        <x:v>884</x:v>
      </x:c>
      <x:c r="F120" s="11" t="n">
        <x:v>200</x:v>
      </x:c>
      <x:c r="G120" s="16" t="b">
        <x:v>0</x:v>
      </x:c>
      <x:c r="H120" s="11" t="str">
        <x:v>Almacén MP</x:v>
      </x:c>
    </x:row>
    <x:row r="121">
      <x:c r="A121" s="11" t="n">
        <x:v>120</x:v>
      </x:c>
      <x:c r="B121" s="11" t="str">
        <x:v>2026-09-08</x:v>
      </x:c>
      <x:c r="C121" s="11" t="str">
        <x:v>MAT005</x:v>
      </x:c>
      <x:c r="D121" s="11" t="str">
        <x:v>Refacción crítica</x:v>
      </x:c>
      <x:c r="E121" s="11" t="n">
        <x:v>18</x:v>
      </x:c>
      <x:c r="F121" s="11" t="n">
        <x:v>5</x:v>
      </x:c>
      <x:c r="G121" s="16" t="b">
        <x:v>0</x:v>
      </x:c>
      <x:c r="H121" s="11" t="str">
        <x:v>Almacén MRO</x:v>
      </x:c>
    </x:row>
    <x:row r="122">
      <x:c r="A122" s="11" t="n">
        <x:v>121</x:v>
      </x:c>
      <x:c r="B122" s="11" t="str">
        <x:v>2026-09-11</x:v>
      </x:c>
      <x:c r="C122" s="11" t="str">
        <x:v>MAT001</x:v>
      </x:c>
      <x:c r="D122" s="11" t="str">
        <x:v>Resina A</x:v>
      </x:c>
      <x:c r="E122" s="11" t="n">
        <x:v>1437</x:v>
      </x:c>
      <x:c r="F122" s="11" t="n">
        <x:v>300</x:v>
      </x:c>
      <x:c r="G122" s="16" t="b">
        <x:v>0</x:v>
      </x:c>
      <x:c r="H122" s="11" t="str">
        <x:v>Almacén MRO</x:v>
      </x:c>
    </x:row>
    <x:row r="123">
      <x:c r="A123" s="11" t="n">
        <x:v>122</x:v>
      </x:c>
      <x:c r="B123" s="11" t="str">
        <x:v>2026-09-11</x:v>
      </x:c>
      <x:c r="C123" s="11" t="str">
        <x:v>MAT002</x:v>
      </x:c>
      <x:c r="D123" s="11" t="str">
        <x:v>Cartón</x:v>
      </x:c>
      <x:c r="E123" s="11" t="n">
        <x:v>2179</x:v>
      </x:c>
      <x:c r="F123" s="11" t="n">
        <x:v>450</x:v>
      </x:c>
      <x:c r="G123" s="16" t="b">
        <x:v>0</x:v>
      </x:c>
      <x:c r="H123" s="11" t="str">
        <x:v>Almacén MP</x:v>
      </x:c>
    </x:row>
    <x:row r="124">
      <x:c r="A124" s="11" t="n">
        <x:v>123</x:v>
      </x:c>
      <x:c r="B124" s="11" t="str">
        <x:v>2026-09-11</x:v>
      </x:c>
      <x:c r="C124" s="11" t="str">
        <x:v>MAT003</x:v>
      </x:c>
      <x:c r="D124" s="11" t="str">
        <x:v>Etiqueta</x:v>
      </x:c>
      <x:c r="E124" s="11" t="n">
        <x:v>3483</x:v>
      </x:c>
      <x:c r="F124" s="11" t="n">
        <x:v>700</x:v>
      </x:c>
      <x:c r="G124" s="16" t="b">
        <x:v>0</x:v>
      </x:c>
      <x:c r="H124" s="11" t="str">
        <x:v>Almacén MP</x:v>
      </x:c>
    </x:row>
    <x:row r="125">
      <x:c r="A125" s="11" t="n">
        <x:v>124</x:v>
      </x:c>
      <x:c r="B125" s="11" t="str">
        <x:v>2026-09-11</x:v>
      </x:c>
      <x:c r="C125" s="11" t="str">
        <x:v>MAT004</x:v>
      </x:c>
      <x:c r="D125" s="11" t="str">
        <x:v>Adhesivo</x:v>
      </x:c>
      <x:c r="E125" s="11" t="n">
        <x:v>1095</x:v>
      </x:c>
      <x:c r="F125" s="11" t="n">
        <x:v>200</x:v>
      </x:c>
      <x:c r="G125" s="16" t="b">
        <x:v>0</x:v>
      </x:c>
      <x:c r="H125" s="11" t="str">
        <x:v>Almacén MRO</x:v>
      </x:c>
    </x:row>
    <x:row r="126">
      <x:c r="A126" s="11" t="n">
        <x:v>125</x:v>
      </x:c>
      <x:c r="B126" s="11" t="str">
        <x:v>2026-09-11</x:v>
      </x:c>
      <x:c r="C126" s="11" t="str">
        <x:v>MAT005</x:v>
      </x:c>
      <x:c r="D126" s="11" t="str">
        <x:v>Refacción crítica</x:v>
      </x:c>
      <x:c r="E126" s="11" t="n">
        <x:v>11</x:v>
      </x:c>
      <x:c r="F126" s="11" t="n">
        <x:v>5</x:v>
      </x:c>
      <x:c r="G126" s="16" t="b">
        <x:v>0</x:v>
      </x:c>
      <x:c r="H126" s="11" t="str">
        <x:v>Almacén MRO</x:v>
      </x:c>
    </x:row>
    <x:row r="127">
      <x:c r="A127" s="11" t="n">
        <x:v>126</x:v>
      </x:c>
      <x:c r="B127" s="11" t="str">
        <x:v>2026-09-14</x:v>
      </x:c>
      <x:c r="C127" s="11" t="str">
        <x:v>MAT001</x:v>
      </x:c>
      <x:c r="D127" s="11" t="str">
        <x:v>Resina A</x:v>
      </x:c>
      <x:c r="E127" s="11" t="n">
        <x:v>1685</x:v>
      </x:c>
      <x:c r="F127" s="11" t="n">
        <x:v>300</x:v>
      </x:c>
      <x:c r="G127" s="16" t="b">
        <x:v>0</x:v>
      </x:c>
      <x:c r="H127" s="11" t="str">
        <x:v>Almacén MP</x:v>
      </x:c>
    </x:row>
    <x:row r="128">
      <x:c r="A128" s="11" t="n">
        <x:v>127</x:v>
      </x:c>
      <x:c r="B128" s="11" t="str">
        <x:v>2026-09-14</x:v>
      </x:c>
      <x:c r="C128" s="11" t="str">
        <x:v>MAT002</x:v>
      </x:c>
      <x:c r="D128" s="11" t="str">
        <x:v>Cartón</x:v>
      </x:c>
      <x:c r="E128" s="11" t="n">
        <x:v>1317</x:v>
      </x:c>
      <x:c r="F128" s="11" t="n">
        <x:v>450</x:v>
      </x:c>
      <x:c r="G128" s="16" t="b">
        <x:v>0</x:v>
      </x:c>
      <x:c r="H128" s="11" t="str">
        <x:v>Almacén MP</x:v>
      </x:c>
    </x:row>
    <x:row r="129">
      <x:c r="A129" s="11" t="n">
        <x:v>128</x:v>
      </x:c>
      <x:c r="B129" s="11" t="str">
        <x:v>2026-09-14</x:v>
      </x:c>
      <x:c r="C129" s="11" t="str">
        <x:v>MAT003</x:v>
      </x:c>
      <x:c r="D129" s="11" t="str">
        <x:v>Etiqueta</x:v>
      </x:c>
      <x:c r="E129" s="11" t="n">
        <x:v>3567</x:v>
      </x:c>
      <x:c r="F129" s="11" t="n">
        <x:v>700</x:v>
      </x:c>
      <x:c r="G129" s="16" t="b">
        <x:v>0</x:v>
      </x:c>
      <x:c r="H129" s="11" t="str">
        <x:v>Almacén MRO</x:v>
      </x:c>
    </x:row>
    <x:row r="130">
      <x:c r="A130" s="11" t="n">
        <x:v>129</x:v>
      </x:c>
      <x:c r="B130" s="11" t="str">
        <x:v>2026-09-14</x:v>
      </x:c>
      <x:c r="C130" s="11" t="str">
        <x:v>MAT004</x:v>
      </x:c>
      <x:c r="D130" s="11" t="str">
        <x:v>Adhesivo</x:v>
      </x:c>
      <x:c r="E130" s="11" t="n">
        <x:v>862</x:v>
      </x:c>
      <x:c r="F130" s="11" t="n">
        <x:v>200</x:v>
      </x:c>
      <x:c r="G130" s="16" t="b">
        <x:v>0</x:v>
      </x:c>
      <x:c r="H130" s="11" t="str">
        <x:v>Almacén MRO</x:v>
      </x:c>
    </x:row>
    <x:row r="131">
      <x:c r="A131" s="11" t="n">
        <x:v>130</x:v>
      </x:c>
      <x:c r="B131" s="11" t="str">
        <x:v>2026-09-14</x:v>
      </x:c>
      <x:c r="C131" s="11" t="str">
        <x:v>MAT005</x:v>
      </x:c>
      <x:c r="D131" s="11" t="str">
        <x:v>Refacción crítica</x:v>
      </x:c>
      <x:c r="E131" s="11" t="n">
        <x:v>25</x:v>
      </x:c>
      <x:c r="F131" s="11" t="n">
        <x:v>5</x:v>
      </x:c>
      <x:c r="G131" s="16" t="b">
        <x:v>0</x:v>
      </x:c>
      <x:c r="H131" s="11" t="str">
        <x:v>Almacén MP</x:v>
      </x:c>
    </x:row>
    <x:row r="132">
      <x:c r="A132" s="11" t="n">
        <x:v>131</x:v>
      </x:c>
      <x:c r="B132" s="11" t="str">
        <x:v>2026-09-17</x:v>
      </x:c>
      <x:c r="C132" s="11" t="str">
        <x:v>MAT001</x:v>
      </x:c>
      <x:c r="D132" s="11" t="str">
        <x:v>Resina A</x:v>
      </x:c>
      <x:c r="E132" s="11" t="n">
        <x:v>2009</x:v>
      </x:c>
      <x:c r="F132" s="11" t="n">
        <x:v>300</x:v>
      </x:c>
      <x:c r="G132" s="16" t="b">
        <x:v>0</x:v>
      </x:c>
      <x:c r="H132" s="11" t="str">
        <x:v>Almacén MRO</x:v>
      </x:c>
    </x:row>
    <x:row r="133">
      <x:c r="A133" s="11" t="n">
        <x:v>132</x:v>
      </x:c>
      <x:c r="B133" s="11" t="str">
        <x:v>2026-09-17</x:v>
      </x:c>
      <x:c r="C133" s="11" t="str">
        <x:v>MAT002</x:v>
      </x:c>
      <x:c r="D133" s="11" t="str">
        <x:v>Cartón</x:v>
      </x:c>
      <x:c r="E133" s="11" t="n">
        <x:v>2104</x:v>
      </x:c>
      <x:c r="F133" s="11" t="n">
        <x:v>450</x:v>
      </x:c>
      <x:c r="G133" s="16" t="b">
        <x:v>0</x:v>
      </x:c>
      <x:c r="H133" s="11" t="str">
        <x:v>Almacén MRO</x:v>
      </x:c>
    </x:row>
    <x:row r="134">
      <x:c r="A134" s="11" t="n">
        <x:v>133</x:v>
      </x:c>
      <x:c r="B134" s="11" t="str">
        <x:v>2026-09-17</x:v>
      </x:c>
      <x:c r="C134" s="11" t="str">
        <x:v>MAT003</x:v>
      </x:c>
      <x:c r="D134" s="11" t="str">
        <x:v>Etiqueta</x:v>
      </x:c>
      <x:c r="E134" s="11" t="n">
        <x:v>3178</x:v>
      </x:c>
      <x:c r="F134" s="11" t="n">
        <x:v>700</x:v>
      </x:c>
      <x:c r="G134" s="16" t="b">
        <x:v>0</x:v>
      </x:c>
      <x:c r="H134" s="11" t="str">
        <x:v>Almacén MP</x:v>
      </x:c>
    </x:row>
    <x:row r="135">
      <x:c r="A135" s="11" t="n">
        <x:v>134</x:v>
      </x:c>
      <x:c r="B135" s="11" t="str">
        <x:v>2026-09-17</x:v>
      </x:c>
      <x:c r="C135" s="11" t="str">
        <x:v>MAT004</x:v>
      </x:c>
      <x:c r="D135" s="11" t="str">
        <x:v>Adhesivo</x:v>
      </x:c>
      <x:c r="E135" s="11" t="n">
        <x:v>844</x:v>
      </x:c>
      <x:c r="F135" s="11" t="n">
        <x:v>200</x:v>
      </x:c>
      <x:c r="G135" s="16" t="b">
        <x:v>0</x:v>
      </x:c>
      <x:c r="H135" s="11" t="str">
        <x:v>Almacén MP</x:v>
      </x:c>
    </x:row>
    <x:row r="136">
      <x:c r="A136" s="11" t="n">
        <x:v>135</x:v>
      </x:c>
      <x:c r="B136" s="11" t="str">
        <x:v>2026-09-17</x:v>
      </x:c>
      <x:c r="C136" s="11" t="str">
        <x:v>MAT005</x:v>
      </x:c>
      <x:c r="D136" s="11" t="str">
        <x:v>Refacción crítica</x:v>
      </x:c>
      <x:c r="E136" s="11" t="n">
        <x:v>12</x:v>
      </x:c>
      <x:c r="F136" s="11" t="n">
        <x:v>5</x:v>
      </x:c>
      <x:c r="G136" s="16" t="b">
        <x:v>0</x:v>
      </x:c>
      <x:c r="H136" s="11" t="str">
        <x:v>Almacén MRO</x:v>
      </x:c>
    </x:row>
    <x:row r="137">
      <x:c r="A137" s="11" t="n">
        <x:v>136</x:v>
      </x:c>
      <x:c r="B137" s="11" t="str">
        <x:v>2026-09-20</x:v>
      </x:c>
      <x:c r="C137" s="11" t="str">
        <x:v>MAT001</x:v>
      </x:c>
      <x:c r="D137" s="11" t="str">
        <x:v>Resina A</x:v>
      </x:c>
      <x:c r="E137" s="11" t="n">
        <x:v>1202</x:v>
      </x:c>
      <x:c r="F137" s="11" t="n">
        <x:v>300</x:v>
      </x:c>
      <x:c r="G137" s="16" t="b">
        <x:v>0</x:v>
      </x:c>
      <x:c r="H137" s="11" t="str">
        <x:v>Almacén MP</x:v>
      </x:c>
    </x:row>
    <x:row r="138">
      <x:c r="A138" s="11" t="n">
        <x:v>137</x:v>
      </x:c>
      <x:c r="B138" s="11" t="str">
        <x:v>2026-09-20</x:v>
      </x:c>
      <x:c r="C138" s="11" t="str">
        <x:v>MAT002</x:v>
      </x:c>
      <x:c r="D138" s="11" t="str">
        <x:v>Cartón</x:v>
      </x:c>
      <x:c r="E138" s="11" t="n">
        <x:v>3324</x:v>
      </x:c>
      <x:c r="F138" s="11" t="n">
        <x:v>450</x:v>
      </x:c>
      <x:c r="G138" s="16" t="b">
        <x:v>0</x:v>
      </x:c>
      <x:c r="H138" s="11" t="str">
        <x:v>Almacén MRO</x:v>
      </x:c>
    </x:row>
    <x:row r="139">
      <x:c r="A139" s="11" t="n">
        <x:v>138</x:v>
      </x:c>
      <x:c r="B139" s="11" t="str">
        <x:v>2026-09-20</x:v>
      </x:c>
      <x:c r="C139" s="11" t="str">
        <x:v>MAT003</x:v>
      </x:c>
      <x:c r="D139" s="11" t="str">
        <x:v>Etiqueta</x:v>
      </x:c>
      <x:c r="E139" s="11" t="n">
        <x:v>4486</x:v>
      </x:c>
      <x:c r="F139" s="11" t="n">
        <x:v>700</x:v>
      </x:c>
      <x:c r="G139" s="16" t="b">
        <x:v>0</x:v>
      </x:c>
      <x:c r="H139" s="11" t="str">
        <x:v>Almacén MRO</x:v>
      </x:c>
    </x:row>
    <x:row r="140">
      <x:c r="A140" s="11" t="n">
        <x:v>139</x:v>
      </x:c>
      <x:c r="B140" s="11" t="str">
        <x:v>2026-09-20</x:v>
      </x:c>
      <x:c r="C140" s="11" t="str">
        <x:v>MAT004</x:v>
      </x:c>
      <x:c r="D140" s="11" t="str">
        <x:v>Adhesivo</x:v>
      </x:c>
      <x:c r="E140" s="11" t="n">
        <x:v>845</x:v>
      </x:c>
      <x:c r="F140" s="11" t="n">
        <x:v>200</x:v>
      </x:c>
      <x:c r="G140" s="16" t="b">
        <x:v>0</x:v>
      </x:c>
      <x:c r="H140" s="11" t="str">
        <x:v>Almacén MP</x:v>
      </x:c>
    </x:row>
    <x:row r="141">
      <x:c r="A141" s="11" t="n">
        <x:v>140</x:v>
      </x:c>
      <x:c r="B141" s="11" t="str">
        <x:v>2026-09-20</x:v>
      </x:c>
      <x:c r="C141" s="11" t="str">
        <x:v>MAT005</x:v>
      </x:c>
      <x:c r="D141" s="11" t="str">
        <x:v>Refacción crítica</x:v>
      </x:c>
      <x:c r="E141" s="11" t="n">
        <x:v>14</x:v>
      </x:c>
      <x:c r="F141" s="11" t="n">
        <x:v>5</x:v>
      </x:c>
      <x:c r="G141" s="16" t="b">
        <x:v>0</x:v>
      </x:c>
      <x:c r="H141" s="11" t="str">
        <x:v>Almacén MRO</x:v>
      </x:c>
    </x:row>
    <x:row r="142">
      <x:c r="A142" s="11" t="n">
        <x:v>141</x:v>
      </x:c>
      <x:c r="B142" s="11" t="str">
        <x:v>2026-09-23</x:v>
      </x:c>
      <x:c r="C142" s="11" t="str">
        <x:v>MAT001</x:v>
      </x:c>
      <x:c r="D142" s="11" t="str">
        <x:v>Resina A</x:v>
      </x:c>
      <x:c r="E142" s="11" t="n">
        <x:v>1513</x:v>
      </x:c>
      <x:c r="F142" s="11" t="n">
        <x:v>300</x:v>
      </x:c>
      <x:c r="G142" s="16" t="b">
        <x:v>0</x:v>
      </x:c>
      <x:c r="H142" s="11" t="str">
        <x:v>Almacén MP</x:v>
      </x:c>
    </x:row>
    <x:row r="143">
      <x:c r="A143" s="11" t="n">
        <x:v>142</x:v>
      </x:c>
      <x:c r="B143" s="11" t="str">
        <x:v>2026-09-23</x:v>
      </x:c>
      <x:c r="C143" s="11" t="str">
        <x:v>MAT002</x:v>
      </x:c>
      <x:c r="D143" s="11" t="str">
        <x:v>Cartón</x:v>
      </x:c>
      <x:c r="E143" s="11" t="n">
        <x:v>2553</x:v>
      </x:c>
      <x:c r="F143" s="11" t="n">
        <x:v>450</x:v>
      </x:c>
      <x:c r="G143" s="16" t="b">
        <x:v>0</x:v>
      </x:c>
      <x:c r="H143" s="11" t="str">
        <x:v>Almacén MP</x:v>
      </x:c>
    </x:row>
    <x:row r="144">
      <x:c r="A144" s="11" t="n">
        <x:v>143</x:v>
      </x:c>
      <x:c r="B144" s="11" t="str">
        <x:v>2026-09-23</x:v>
      </x:c>
      <x:c r="C144" s="11" t="str">
        <x:v>MAT003</x:v>
      </x:c>
      <x:c r="D144" s="11" t="str">
        <x:v>Etiqueta</x:v>
      </x:c>
      <x:c r="E144" s="11" t="n">
        <x:v>3432</x:v>
      </x:c>
      <x:c r="F144" s="11" t="n">
        <x:v>700</x:v>
      </x:c>
      <x:c r="G144" s="16" t="b">
        <x:v>0</x:v>
      </x:c>
      <x:c r="H144" s="11" t="str">
        <x:v>Almacén MP</x:v>
      </x:c>
    </x:row>
    <x:row r="145">
      <x:c r="A145" s="11" t="n">
        <x:v>144</x:v>
      </x:c>
      <x:c r="B145" s="11" t="str">
        <x:v>2026-09-23</x:v>
      </x:c>
      <x:c r="C145" s="11" t="str">
        <x:v>MAT004</x:v>
      </x:c>
      <x:c r="D145" s="11" t="str">
        <x:v>Adhesivo</x:v>
      </x:c>
      <x:c r="E145" s="11" t="n">
        <x:v>834</x:v>
      </x:c>
      <x:c r="F145" s="11" t="n">
        <x:v>200</x:v>
      </x:c>
      <x:c r="G145" s="16" t="b">
        <x:v>0</x:v>
      </x:c>
      <x:c r="H145" s="11" t="str">
        <x:v>Almacén MP</x:v>
      </x:c>
    </x:row>
    <x:row r="146">
      <x:c r="A146" s="11" t="n">
        <x:v>145</x:v>
      </x:c>
      <x:c r="B146" s="11" t="str">
        <x:v>2026-09-23</x:v>
      </x:c>
      <x:c r="C146" s="11" t="str">
        <x:v>MAT005</x:v>
      </x:c>
      <x:c r="D146" s="11" t="str">
        <x:v>Refacción crítica</x:v>
      </x:c>
      <x:c r="E146" s="11" t="n">
        <x:v>18</x:v>
      </x:c>
      <x:c r="F146" s="11" t="n">
        <x:v>5</x:v>
      </x:c>
      <x:c r="G146" s="16" t="b">
        <x:v>0</x:v>
      </x:c>
      <x:c r="H146" s="11" t="str">
        <x:v>Almacén MRO</x:v>
      </x:c>
    </x:row>
    <x:row r="147">
      <x:c r="A147" s="11" t="n">
        <x:v>146</x:v>
      </x:c>
      <x:c r="B147" s="11" t="str">
        <x:v>2026-09-26</x:v>
      </x:c>
      <x:c r="C147" s="11" t="str">
        <x:v>MAT001</x:v>
      </x:c>
      <x:c r="D147" s="11" t="str">
        <x:v>Resina A</x:v>
      </x:c>
      <x:c r="E147" s="11" t="n">
        <x:v>1467</x:v>
      </x:c>
      <x:c r="F147" s="11" t="n">
        <x:v>300</x:v>
      </x:c>
      <x:c r="G147" s="16" t="b">
        <x:v>0</x:v>
      </x:c>
      <x:c r="H147" s="11" t="str">
        <x:v>Almacén MP</x:v>
      </x:c>
    </x:row>
    <x:row r="148">
      <x:c r="A148" s="11" t="n">
        <x:v>147</x:v>
      </x:c>
      <x:c r="B148" s="11" t="str">
        <x:v>2026-09-26</x:v>
      </x:c>
      <x:c r="C148" s="11" t="str">
        <x:v>MAT002</x:v>
      </x:c>
      <x:c r="D148" s="11" t="str">
        <x:v>Cartón</x:v>
      </x:c>
      <x:c r="E148" s="11" t="n">
        <x:v>1869</x:v>
      </x:c>
      <x:c r="F148" s="11" t="n">
        <x:v>450</x:v>
      </x:c>
      <x:c r="G148" s="16" t="b">
        <x:v>0</x:v>
      </x:c>
      <x:c r="H148" s="11" t="str">
        <x:v>Almacén MP</x:v>
      </x:c>
    </x:row>
    <x:row r="149">
      <x:c r="A149" s="11" t="n">
        <x:v>148</x:v>
      </x:c>
      <x:c r="B149" s="11" t="str">
        <x:v>2026-09-26</x:v>
      </x:c>
      <x:c r="C149" s="11" t="str">
        <x:v>MAT003</x:v>
      </x:c>
      <x:c r="D149" s="11" t="str">
        <x:v>Etiqueta</x:v>
      </x:c>
      <x:c r="E149" s="11" t="n">
        <x:v>2954</x:v>
      </x:c>
      <x:c r="F149" s="11" t="n">
        <x:v>700</x:v>
      </x:c>
      <x:c r="G149" s="16" t="b">
        <x:v>0</x:v>
      </x:c>
      <x:c r="H149" s="11" t="str">
        <x:v>Almacén MRO</x:v>
      </x:c>
    </x:row>
    <x:row r="150">
      <x:c r="A150" s="11" t="n">
        <x:v>149</x:v>
      </x:c>
      <x:c r="B150" s="11" t="str">
        <x:v>2026-09-26</x:v>
      </x:c>
      <x:c r="C150" s="11" t="str">
        <x:v>MAT004</x:v>
      </x:c>
      <x:c r="D150" s="11" t="str">
        <x:v>Adhesivo</x:v>
      </x:c>
      <x:c r="E150" s="11" t="n">
        <x:v>808</x:v>
      </x:c>
      <x:c r="F150" s="11" t="n">
        <x:v>200</x:v>
      </x:c>
      <x:c r="G150" s="16" t="b">
        <x:v>0</x:v>
      </x:c>
      <x:c r="H150" s="11" t="str">
        <x:v>Almacén MRO</x:v>
      </x:c>
    </x:row>
    <x:row r="151">
      <x:c r="A151" s="11" t="n">
        <x:v>150</x:v>
      </x:c>
      <x:c r="B151" s="11" t="str">
        <x:v>2026-09-26</x:v>
      </x:c>
      <x:c r="C151" s="11" t="str">
        <x:v>MAT005</x:v>
      </x:c>
      <x:c r="D151" s="11" t="str">
        <x:v>Refacción crítica</x:v>
      </x:c>
      <x:c r="E151" s="11" t="n">
        <x:v>20</x:v>
      </x:c>
      <x:c r="F151" s="11" t="n">
        <x:v>5</x:v>
      </x:c>
      <x:c r="G151" s="16" t="b">
        <x:v>0</x:v>
      </x:c>
      <x:c r="H151" s="11" t="str">
        <x:v>Almacén MRO</x:v>
      </x:c>
    </x:row>
    <x:row r="152">
      <x:c r="A152" s="11" t="n">
        <x:v>151</x:v>
      </x:c>
      <x:c r="B152" s="11" t="str">
        <x:v>2026-09-29</x:v>
      </x:c>
      <x:c r="C152" s="11" t="str">
        <x:v>MAT001</x:v>
      </x:c>
      <x:c r="D152" s="11" t="str">
        <x:v>Resina A</x:v>
      </x:c>
      <x:c r="E152" s="11" t="n">
        <x:v>1231</x:v>
      </x:c>
      <x:c r="F152" s="11" t="n">
        <x:v>300</x:v>
      </x:c>
      <x:c r="G152" s="16" t="b">
        <x:v>0</x:v>
      </x:c>
      <x:c r="H152" s="11" t="str">
        <x:v>Almacén MRO</x:v>
      </x:c>
    </x:row>
    <x:row r="153">
      <x:c r="A153" s="11" t="n">
        <x:v>152</x:v>
      </x:c>
      <x:c r="B153" s="11" t="str">
        <x:v>2026-09-29</x:v>
      </x:c>
      <x:c r="C153" s="11" t="str">
        <x:v>MAT002</x:v>
      </x:c>
      <x:c r="D153" s="11" t="str">
        <x:v>Cartón</x:v>
      </x:c>
      <x:c r="E153" s="11" t="n">
        <x:v>2113</x:v>
      </x:c>
      <x:c r="F153" s="11" t="n">
        <x:v>450</x:v>
      </x:c>
      <x:c r="G153" s="16" t="b">
        <x:v>0</x:v>
      </x:c>
      <x:c r="H153" s="11" t="str">
        <x:v>Almacén MRO</x:v>
      </x:c>
    </x:row>
    <x:row r="154">
      <x:c r="A154" s="11" t="n">
        <x:v>153</x:v>
      </x:c>
      <x:c r="B154" s="11" t="str">
        <x:v>2026-09-29</x:v>
      </x:c>
      <x:c r="C154" s="11" t="str">
        <x:v>MAT003</x:v>
      </x:c>
      <x:c r="D154" s="11" t="str">
        <x:v>Etiqueta</x:v>
      </x:c>
      <x:c r="E154" s="11" t="n">
        <x:v>3108</x:v>
      </x:c>
      <x:c r="F154" s="11" t="n">
        <x:v>700</x:v>
      </x:c>
      <x:c r="G154" s="16" t="b">
        <x:v>0</x:v>
      </x:c>
      <x:c r="H154" s="11" t="str">
        <x:v>Almacén MP</x:v>
      </x:c>
    </x:row>
    <x:row r="155">
      <x:c r="A155" s="11" t="n">
        <x:v>154</x:v>
      </x:c>
      <x:c r="B155" s="11" t="str">
        <x:v>2026-09-29</x:v>
      </x:c>
      <x:c r="C155" s="11" t="str">
        <x:v>MAT004</x:v>
      </x:c>
      <x:c r="D155" s="11" t="str">
        <x:v>Adhesivo</x:v>
      </x:c>
      <x:c r="E155" s="11" t="n">
        <x:v>1023</x:v>
      </x:c>
      <x:c r="F155" s="11" t="n">
        <x:v>200</x:v>
      </x:c>
      <x:c r="G155" s="16" t="b">
        <x:v>0</x:v>
      </x:c>
      <x:c r="H155" s="11" t="str">
        <x:v>Almacén MP</x:v>
      </x:c>
    </x:row>
    <x:row r="156">
      <x:c r="A156" s="11" t="n">
        <x:v>155</x:v>
      </x:c>
      <x:c r="B156" s="11" t="str">
        <x:v>2026-09-29</x:v>
      </x:c>
      <x:c r="C156" s="11" t="str">
        <x:v>MAT005</x:v>
      </x:c>
      <x:c r="D156" s="11" t="str">
        <x:v>Refacción crítica</x:v>
      </x:c>
      <x:c r="E156" s="11" t="n">
        <x:v>24</x:v>
      </x:c>
      <x:c r="F156" s="11" t="n">
        <x:v>5</x:v>
      </x:c>
      <x:c r="G156" s="16" t="b">
        <x:v>0</x:v>
      </x:c>
      <x:c r="H156" s="11" t="str">
        <x:v>Almacén MRO</x:v>
      </x:c>
    </x:row>
  </x:sheetData>
  <x:pageMargins left="0.7" right="0.7" top="0.75" bottom="0.75" header="0.3" footer="0.3"/>
  <x:tableParts count="1">
    <x:tablePart xmlns:r="http://schemas.openxmlformats.org/officeDocument/2006/relationships" r:id="Reb0ebad1c2ec4559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1" hidden="0" customWidth="1"/>
  </x:cols>
  <x:sheetData>
    <x:row r="1">
      <x:c r="A1" s="10" t="str">
        <x:v>id</x:v>
      </x:c>
      <x:c r="B1" s="10" t="str">
        <x:v>fecha</x:v>
      </x:c>
      <x:c r="C1" s="10" t="str">
        <x:v>linea_id</x:v>
      </x:c>
      <x:c r="D1" s="10" t="str">
        <x:v>linea</x:v>
      </x:c>
      <x:c r="E1" s="10" t="str">
        <x:v>kwh</x:v>
      </x:c>
      <x:c r="F1" s="10" t="str">
        <x:v>costo_mxn</x:v>
      </x:c>
    </x:row>
    <x:row r="2">
      <x:c r="A2" s="11" t="n">
        <x:v>1</x:v>
      </x:c>
      <x:c r="B2" s="11" t="str">
        <x:v>2026-07-01</x:v>
      </x:c>
      <x:c r="C2" s="11" t="str">
        <x:v>L1</x:v>
      </x:c>
      <x:c r="D2" s="11" t="str">
        <x:v>Envasado A</x:v>
      </x:c>
      <x:c r="E2" s="11" t="n">
        <x:v>570.97</x:v>
      </x:c>
      <x:c r="F2" s="11" t="n">
        <x:v>1201.91</x:v>
      </x:c>
    </x:row>
    <x:row r="3">
      <x:c r="A3" s="11" t="n">
        <x:v>2</x:v>
      </x:c>
      <x:c r="B3" s="11" t="str">
        <x:v>2026-07-01</x:v>
      </x:c>
      <x:c r="C3" s="11" t="str">
        <x:v>L2</x:v>
      </x:c>
      <x:c r="D3" s="11" t="str">
        <x:v>Envasado B</x:v>
      </x:c>
      <x:c r="E3" s="11" t="n">
        <x:v>633.4</x:v>
      </x:c>
      <x:c r="F3" s="11" t="n">
        <x:v>1474.8</x:v>
      </x:c>
    </x:row>
    <x:row r="4">
      <x:c r="A4" s="11" t="n">
        <x:v>3</x:v>
      </x:c>
      <x:c r="B4" s="11" t="str">
        <x:v>2026-07-01</x:v>
      </x:c>
      <x:c r="C4" s="11" t="str">
        <x:v>L3</x:v>
      </x:c>
      <x:c r="D4" s="11" t="str">
        <x:v>Empaque</x:v>
      </x:c>
      <x:c r="E4" s="11" t="n">
        <x:v>607.86</x:v>
      </x:c>
      <x:c r="F4" s="11" t="n">
        <x:v>1299.15</x:v>
      </x:c>
    </x:row>
    <x:row r="5">
      <x:c r="A5" s="11" t="n">
        <x:v>4</x:v>
      </x:c>
      <x:c r="B5" s="11" t="str">
        <x:v>2026-07-01</x:v>
      </x:c>
      <x:c r="C5" s="11" t="str">
        <x:v>L4</x:v>
      </x:c>
      <x:c r="D5" s="11" t="str">
        <x:v>Etiquetado</x:v>
      </x:c>
      <x:c r="E5" s="11" t="n">
        <x:v>665.97</x:v>
      </x:c>
      <x:c r="F5" s="11" t="n">
        <x:v>1564.6</x:v>
      </x:c>
    </x:row>
    <x:row r="6">
      <x:c r="A6" s="11" t="n">
        <x:v>5</x:v>
      </x:c>
      <x:c r="B6" s="11" t="str">
        <x:v>2026-07-02</x:v>
      </x:c>
      <x:c r="C6" s="11" t="str">
        <x:v>L1</x:v>
      </x:c>
      <x:c r="D6" s="11" t="str">
        <x:v>Envasado A</x:v>
      </x:c>
      <x:c r="E6" s="11" t="n">
        <x:v>618.94</x:v>
      </x:c>
      <x:c r="F6" s="11" t="n">
        <x:v>1448.56</x:v>
      </x:c>
    </x:row>
    <x:row r="7">
      <x:c r="A7" s="11" t="n">
        <x:v>6</x:v>
      </x:c>
      <x:c r="B7" s="11" t="str">
        <x:v>2026-07-02</x:v>
      </x:c>
      <x:c r="C7" s="11" t="str">
        <x:v>L2</x:v>
      </x:c>
      <x:c r="D7" s="11" t="str">
        <x:v>Envasado B</x:v>
      </x:c>
      <x:c r="E7" s="11" t="n">
        <x:v>608.53</x:v>
      </x:c>
      <x:c r="F7" s="11" t="n">
        <x:v>1387.61</x:v>
      </x:c>
    </x:row>
    <x:row r="8">
      <x:c r="A8" s="11" t="n">
        <x:v>7</x:v>
      </x:c>
      <x:c r="B8" s="11" t="str">
        <x:v>2026-07-02</x:v>
      </x:c>
      <x:c r="C8" s="11" t="str">
        <x:v>L3</x:v>
      </x:c>
      <x:c r="D8" s="11" t="str">
        <x:v>Empaque</x:v>
      </x:c>
      <x:c r="E8" s="11" t="n">
        <x:v>509.44</x:v>
      </x:c>
      <x:c r="F8" s="11" t="n">
        <x:v>1074.43</x:v>
      </x:c>
    </x:row>
    <x:row r="9">
      <x:c r="A9" s="11" t="n">
        <x:v>8</x:v>
      </x:c>
      <x:c r="B9" s="11" t="str">
        <x:v>2026-07-02</x:v>
      </x:c>
      <x:c r="C9" s="11" t="str">
        <x:v>L4</x:v>
      </x:c>
      <x:c r="D9" s="11" t="str">
        <x:v>Etiquetado</x:v>
      </x:c>
      <x:c r="E9" s="11" t="n">
        <x:v>391.35</x:v>
      </x:c>
      <x:c r="F9" s="11" t="n">
        <x:v>951.04</x:v>
      </x:c>
    </x:row>
    <x:row r="10">
      <x:c r="A10" s="11" t="n">
        <x:v>9</x:v>
      </x:c>
      <x:c r="B10" s="11" t="str">
        <x:v>2026-07-03</x:v>
      </x:c>
      <x:c r="C10" s="11" t="str">
        <x:v>L1</x:v>
      </x:c>
      <x:c r="D10" s="11" t="str">
        <x:v>Envasado A</x:v>
      </x:c>
      <x:c r="E10" s="11" t="n">
        <x:v>473.63</x:v>
      </x:c>
      <x:c r="F10" s="11" t="n">
        <x:v>1146.37</x:v>
      </x:c>
    </x:row>
    <x:row r="11">
      <x:c r="A11" s="11" t="n">
        <x:v>10</x:v>
      </x:c>
      <x:c r="B11" s="11" t="str">
        <x:v>2026-07-03</x:v>
      </x:c>
      <x:c r="C11" s="11" t="str">
        <x:v>L2</x:v>
      </x:c>
      <x:c r="D11" s="11" t="str">
        <x:v>Envasado B</x:v>
      </x:c>
      <x:c r="E11" s="11" t="n">
        <x:v>692.15</x:v>
      </x:c>
      <x:c r="F11" s="11" t="n">
        <x:v>1445.5</x:v>
      </x:c>
    </x:row>
    <x:row r="12">
      <x:c r="A12" s="11" t="n">
        <x:v>11</x:v>
      </x:c>
      <x:c r="B12" s="11" t="str">
        <x:v>2026-07-03</x:v>
      </x:c>
      <x:c r="C12" s="11" t="str">
        <x:v>L3</x:v>
      </x:c>
      <x:c r="D12" s="11" t="str">
        <x:v>Empaque</x:v>
      </x:c>
      <x:c r="E12" s="11" t="n">
        <x:v>672.79</x:v>
      </x:c>
      <x:c r="F12" s="11" t="n">
        <x:v>1393.34</x:v>
      </x:c>
    </x:row>
    <x:row r="13">
      <x:c r="A13" s="11" t="n">
        <x:v>12</x:v>
      </x:c>
      <x:c r="B13" s="11" t="str">
        <x:v>2026-07-03</x:v>
      </x:c>
      <x:c r="C13" s="11" t="str">
        <x:v>L4</x:v>
      </x:c>
      <x:c r="D13" s="11" t="str">
        <x:v>Etiquetado</x:v>
      </x:c>
      <x:c r="E13" s="11" t="n">
        <x:v>611.35</x:v>
      </x:c>
      <x:c r="F13" s="11" t="n">
        <x:v>1492.98</x:v>
      </x:c>
    </x:row>
    <x:row r="14">
      <x:c r="A14" s="11" t="n">
        <x:v>13</x:v>
      </x:c>
      <x:c r="B14" s="11" t="str">
        <x:v>2026-07-04</x:v>
      </x:c>
      <x:c r="C14" s="11" t="str">
        <x:v>L1</x:v>
      </x:c>
      <x:c r="D14" s="11" t="str">
        <x:v>Envasado A</x:v>
      </x:c>
      <x:c r="E14" s="11" t="n">
        <x:v>553.03</x:v>
      </x:c>
      <x:c r="F14" s="11" t="n">
        <x:v>1348.23</x:v>
      </x:c>
    </x:row>
    <x:row r="15">
      <x:c r="A15" s="11" t="n">
        <x:v>14</x:v>
      </x:c>
      <x:c r="B15" s="11" t="str">
        <x:v>2026-07-04</x:v>
      </x:c>
      <x:c r="C15" s="11" t="str">
        <x:v>L2</x:v>
      </x:c>
      <x:c r="D15" s="11" t="str">
        <x:v>Envasado B</x:v>
      </x:c>
      <x:c r="E15" s="11" t="n">
        <x:v>527.7</x:v>
      </x:c>
      <x:c r="F15" s="11" t="n">
        <x:v>1214.13</x:v>
      </x:c>
    </x:row>
    <x:row r="16">
      <x:c r="A16" s="11" t="n">
        <x:v>15</x:v>
      </x:c>
      <x:c r="B16" s="11" t="str">
        <x:v>2026-07-04</x:v>
      </x:c>
      <x:c r="C16" s="11" t="str">
        <x:v>L3</x:v>
      </x:c>
      <x:c r="D16" s="11" t="str">
        <x:v>Empaque</x:v>
      </x:c>
      <x:c r="E16" s="11" t="n">
        <x:v>601.59</x:v>
      </x:c>
      <x:c r="F16" s="11" t="n">
        <x:v>1291.22</x:v>
      </x:c>
    </x:row>
    <x:row r="17">
      <x:c r="A17" s="11" t="n">
        <x:v>16</x:v>
      </x:c>
      <x:c r="B17" s="11" t="str">
        <x:v>2026-07-04</x:v>
      </x:c>
      <x:c r="C17" s="11" t="str">
        <x:v>L4</x:v>
      </x:c>
      <x:c r="D17" s="11" t="str">
        <x:v>Etiquetado</x:v>
      </x:c>
      <x:c r="E17" s="11" t="n">
        <x:v>632.68</x:v>
      </x:c>
      <x:c r="F17" s="11" t="n">
        <x:v>1420.65</x:v>
      </x:c>
    </x:row>
    <x:row r="18">
      <x:c r="A18" s="11" t="n">
        <x:v>17</x:v>
      </x:c>
      <x:c r="B18" s="11" t="str">
        <x:v>2026-07-05</x:v>
      </x:c>
      <x:c r="C18" s="11" t="str">
        <x:v>L1</x:v>
      </x:c>
      <x:c r="D18" s="11" t="str">
        <x:v>Envasado A</x:v>
      </x:c>
      <x:c r="E18" s="11" t="n">
        <x:v>539.71</x:v>
      </x:c>
      <x:c r="F18" s="11" t="n">
        <x:v>1247.33</x:v>
      </x:c>
    </x:row>
    <x:row r="19">
      <x:c r="A19" s="11" t="n">
        <x:v>18</x:v>
      </x:c>
      <x:c r="B19" s="11" t="str">
        <x:v>2026-07-05</x:v>
      </x:c>
      <x:c r="C19" s="11" t="str">
        <x:v>L2</x:v>
      </x:c>
      <x:c r="D19" s="11" t="str">
        <x:v>Envasado B</x:v>
      </x:c>
      <x:c r="E19" s="11" t="n">
        <x:v>424.49</x:v>
      </x:c>
      <x:c r="F19" s="11" t="n">
        <x:v>933.94</x:v>
      </x:c>
    </x:row>
    <x:row r="20">
      <x:c r="A20" s="11" t="n">
        <x:v>19</x:v>
      </x:c>
      <x:c r="B20" s="11" t="str">
        <x:v>2026-07-05</x:v>
      </x:c>
      <x:c r="C20" s="11" t="str">
        <x:v>L3</x:v>
      </x:c>
      <x:c r="D20" s="11" t="str">
        <x:v>Empaque</x:v>
      </x:c>
      <x:c r="E20" s="11" t="n">
        <x:v>565.86</x:v>
      </x:c>
      <x:c r="F20" s="11" t="n">
        <x:v>1309.06</x:v>
      </x:c>
    </x:row>
    <x:row r="21">
      <x:c r="A21" s="11" t="n">
        <x:v>20</x:v>
      </x:c>
      <x:c r="B21" s="11" t="str">
        <x:v>2026-07-05</x:v>
      </x:c>
      <x:c r="C21" s="11" t="str">
        <x:v>L4</x:v>
      </x:c>
      <x:c r="D21" s="11" t="str">
        <x:v>Etiquetado</x:v>
      </x:c>
      <x:c r="E21" s="11" t="n">
        <x:v>478.61</x:v>
      </x:c>
      <x:c r="F21" s="11" t="n">
        <x:v>1130.04</x:v>
      </x:c>
    </x:row>
    <x:row r="22">
      <x:c r="A22" s="11" t="n">
        <x:v>21</x:v>
      </x:c>
      <x:c r="B22" s="11" t="str">
        <x:v>2026-07-06</x:v>
      </x:c>
      <x:c r="C22" s="11" t="str">
        <x:v>L1</x:v>
      </x:c>
      <x:c r="D22" s="11" t="str">
        <x:v>Envasado A</x:v>
      </x:c>
      <x:c r="E22" s="11" t="n">
        <x:v>701.43</x:v>
      </x:c>
      <x:c r="F22" s="11" t="n">
        <x:v>1515.15</x:v>
      </x:c>
    </x:row>
    <x:row r="23">
      <x:c r="A23" s="11" t="n">
        <x:v>22</x:v>
      </x:c>
      <x:c r="B23" s="11" t="str">
        <x:v>2026-07-06</x:v>
      </x:c>
      <x:c r="C23" s="11" t="str">
        <x:v>L2</x:v>
      </x:c>
      <x:c r="D23" s="11" t="str">
        <x:v>Envasado B</x:v>
      </x:c>
      <x:c r="E23" s="11" t="n">
        <x:v>527.52</x:v>
      </x:c>
      <x:c r="F23" s="11" t="n">
        <x:v>1219.25</x:v>
      </x:c>
    </x:row>
    <x:row r="24">
      <x:c r="A24" s="11" t="n">
        <x:v>23</x:v>
      </x:c>
      <x:c r="B24" s="11" t="str">
        <x:v>2026-07-06</x:v>
      </x:c>
      <x:c r="C24" s="11" t="str">
        <x:v>L3</x:v>
      </x:c>
      <x:c r="D24" s="11" t="str">
        <x:v>Empaque</x:v>
      </x:c>
      <x:c r="E24" s="11" t="n">
        <x:v>591.11</x:v>
      </x:c>
      <x:c r="F24" s="11" t="n">
        <x:v>1231.31</x:v>
      </x:c>
    </x:row>
    <x:row r="25">
      <x:c r="A25" s="11" t="n">
        <x:v>24</x:v>
      </x:c>
      <x:c r="B25" s="11" t="str">
        <x:v>2026-07-06</x:v>
      </x:c>
      <x:c r="C25" s="11" t="str">
        <x:v>L4</x:v>
      </x:c>
      <x:c r="D25" s="11" t="str">
        <x:v>Etiquetado</x:v>
      </x:c>
      <x:c r="E25" s="11" t="n">
        <x:v>651.82</x:v>
      </x:c>
      <x:c r="F25" s="11" t="n">
        <x:v>1463.78</x:v>
      </x:c>
    </x:row>
    <x:row r="26">
      <x:c r="A26" s="11" t="n">
        <x:v>25</x:v>
      </x:c>
      <x:c r="B26" s="11" t="str">
        <x:v>2026-07-07</x:v>
      </x:c>
      <x:c r="C26" s="11" t="str">
        <x:v>L1</x:v>
      </x:c>
      <x:c r="D26" s="11" t="str">
        <x:v>Envasado A</x:v>
      </x:c>
      <x:c r="E26" s="11" t="n">
        <x:v>570.43</x:v>
      </x:c>
      <x:c r="F26" s="11" t="n">
        <x:v>1174.64</x:v>
      </x:c>
    </x:row>
    <x:row r="27">
      <x:c r="A27" s="11" t="n">
        <x:v>26</x:v>
      </x:c>
      <x:c r="B27" s="11" t="str">
        <x:v>2026-07-07</x:v>
      </x:c>
      <x:c r="C27" s="11" t="str">
        <x:v>L2</x:v>
      </x:c>
      <x:c r="D27" s="11" t="str">
        <x:v>Envasado B</x:v>
      </x:c>
      <x:c r="E27" s="11" t="n">
        <x:v>531.44</x:v>
      </x:c>
      <x:c r="F27" s="11" t="n">
        <x:v>1211.25</x:v>
      </x:c>
    </x:row>
    <x:row r="28">
      <x:c r="A28" s="11" t="n">
        <x:v>27</x:v>
      </x:c>
      <x:c r="B28" s="11" t="str">
        <x:v>2026-07-07</x:v>
      </x:c>
      <x:c r="C28" s="11" t="str">
        <x:v>L3</x:v>
      </x:c>
      <x:c r="D28" s="11" t="str">
        <x:v>Empaque</x:v>
      </x:c>
      <x:c r="E28" s="11" t="n">
        <x:v>558.98</x:v>
      </x:c>
      <x:c r="F28" s="11" t="n">
        <x:v>1312.57</x:v>
      </x:c>
    </x:row>
    <x:row r="29">
      <x:c r="A29" s="11" t="n">
        <x:v>28</x:v>
      </x:c>
      <x:c r="B29" s="11" t="str">
        <x:v>2026-07-07</x:v>
      </x:c>
      <x:c r="C29" s="11" t="str">
        <x:v>L4</x:v>
      </x:c>
      <x:c r="D29" s="11" t="str">
        <x:v>Etiquetado</x:v>
      </x:c>
      <x:c r="E29" s="11" t="n">
        <x:v>590.04</x:v>
      </x:c>
      <x:c r="F29" s="11" t="n">
        <x:v>1397.06</x:v>
      </x:c>
    </x:row>
    <x:row r="30">
      <x:c r="A30" s="11" t="n">
        <x:v>29</x:v>
      </x:c>
      <x:c r="B30" s="11" t="str">
        <x:v>2026-07-08</x:v>
      </x:c>
      <x:c r="C30" s="11" t="str">
        <x:v>L1</x:v>
      </x:c>
      <x:c r="D30" s="11" t="str">
        <x:v>Envasado A</x:v>
      </x:c>
      <x:c r="E30" s="11" t="n">
        <x:v>661.03</x:v>
      </x:c>
      <x:c r="F30" s="11" t="n">
        <x:v>1525.55</x:v>
      </x:c>
    </x:row>
    <x:row r="31">
      <x:c r="A31" s="11" t="n">
        <x:v>30</x:v>
      </x:c>
      <x:c r="B31" s="11" t="str">
        <x:v>2026-07-08</x:v>
      </x:c>
      <x:c r="C31" s="11" t="str">
        <x:v>L2</x:v>
      </x:c>
      <x:c r="D31" s="11" t="str">
        <x:v>Envasado B</x:v>
      </x:c>
      <x:c r="E31" s="11" t="n">
        <x:v>708.78</x:v>
      </x:c>
      <x:c r="F31" s="11" t="n">
        <x:v>1575.95</x:v>
      </x:c>
    </x:row>
    <x:row r="32">
      <x:c r="A32" s="11" t="n">
        <x:v>31</x:v>
      </x:c>
      <x:c r="B32" s="11" t="str">
        <x:v>2026-07-08</x:v>
      </x:c>
      <x:c r="C32" s="11" t="str">
        <x:v>L3</x:v>
      </x:c>
      <x:c r="D32" s="11" t="str">
        <x:v>Empaque</x:v>
      </x:c>
      <x:c r="E32" s="11" t="n">
        <x:v>584.95</x:v>
      </x:c>
      <x:c r="F32" s="11" t="n">
        <x:v>1214</x:v>
      </x:c>
    </x:row>
    <x:row r="33">
      <x:c r="A33" s="11" t="n">
        <x:v>32</x:v>
      </x:c>
      <x:c r="B33" s="11" t="str">
        <x:v>2026-07-08</x:v>
      </x:c>
      <x:c r="C33" s="11" t="str">
        <x:v>L4</x:v>
      </x:c>
      <x:c r="D33" s="11" t="str">
        <x:v>Etiquetado</x:v>
      </x:c>
      <x:c r="E33" s="11" t="n">
        <x:v>603.12</x:v>
      </x:c>
      <x:c r="F33" s="11" t="n">
        <x:v>1455.66</x:v>
      </x:c>
    </x:row>
    <x:row r="34">
      <x:c r="A34" s="11" t="n">
        <x:v>33</x:v>
      </x:c>
      <x:c r="B34" s="11" t="str">
        <x:v>2026-07-09</x:v>
      </x:c>
      <x:c r="C34" s="11" t="str">
        <x:v>L1</x:v>
      </x:c>
      <x:c r="D34" s="11" t="str">
        <x:v>Envasado A</x:v>
      </x:c>
      <x:c r="E34" s="11" t="n">
        <x:v>635.24</x:v>
      </x:c>
      <x:c r="F34" s="11" t="n">
        <x:v>1508.79</x:v>
      </x:c>
    </x:row>
    <x:row r="35">
      <x:c r="A35" s="11" t="n">
        <x:v>34</x:v>
      </x:c>
      <x:c r="B35" s="11" t="str">
        <x:v>2026-07-09</x:v>
      </x:c>
      <x:c r="C35" s="11" t="str">
        <x:v>L2</x:v>
      </x:c>
      <x:c r="D35" s="11" t="str">
        <x:v>Envasado B</x:v>
      </x:c>
      <x:c r="E35" s="11" t="n">
        <x:v>567.83</x:v>
      </x:c>
      <x:c r="F35" s="11" t="n">
        <x:v>1168.54</x:v>
      </x:c>
    </x:row>
    <x:row r="36">
      <x:c r="A36" s="11" t="n">
        <x:v>35</x:v>
      </x:c>
      <x:c r="B36" s="11" t="str">
        <x:v>2026-07-09</x:v>
      </x:c>
      <x:c r="C36" s="11" t="str">
        <x:v>L3</x:v>
      </x:c>
      <x:c r="D36" s="11" t="str">
        <x:v>Empaque</x:v>
      </x:c>
      <x:c r="E36" s="11" t="n">
        <x:v>521.07</x:v>
      </x:c>
      <x:c r="F36" s="11" t="n">
        <x:v>1237.48</x:v>
      </x:c>
    </x:row>
    <x:row r="37">
      <x:c r="A37" s="11" t="n">
        <x:v>36</x:v>
      </x:c>
      <x:c r="B37" s="11" t="str">
        <x:v>2026-07-09</x:v>
      </x:c>
      <x:c r="C37" s="11" t="str">
        <x:v>L4</x:v>
      </x:c>
      <x:c r="D37" s="11" t="str">
        <x:v>Etiquetado</x:v>
      </x:c>
      <x:c r="E37" s="11" t="n">
        <x:v>583.64</x:v>
      </x:c>
      <x:c r="F37" s="11" t="n">
        <x:v>1310.52</x:v>
      </x:c>
    </x:row>
    <x:row r="38">
      <x:c r="A38" s="11" t="n">
        <x:v>37</x:v>
      </x:c>
      <x:c r="B38" s="11" t="str">
        <x:v>2026-07-10</x:v>
      </x:c>
      <x:c r="C38" s="11" t="str">
        <x:v>L1</x:v>
      </x:c>
      <x:c r="D38" s="11" t="str">
        <x:v>Envasado A</x:v>
      </x:c>
      <x:c r="E38" s="11" t="n">
        <x:v>508.11</x:v>
      </x:c>
      <x:c r="F38" s="11" t="n">
        <x:v>1186.69</x:v>
      </x:c>
    </x:row>
    <x:row r="39">
      <x:c r="A39" s="11" t="n">
        <x:v>38</x:v>
      </x:c>
      <x:c r="B39" s="11" t="str">
        <x:v>2026-07-10</x:v>
      </x:c>
      <x:c r="C39" s="11" t="str">
        <x:v>L2</x:v>
      </x:c>
      <x:c r="D39" s="11" t="str">
        <x:v>Envasado B</x:v>
      </x:c>
      <x:c r="E39" s="11" t="n">
        <x:v>606.65</x:v>
      </x:c>
      <x:c r="F39" s="11" t="n">
        <x:v>1435.35</x:v>
      </x:c>
    </x:row>
    <x:row r="40">
      <x:c r="A40" s="11" t="n">
        <x:v>39</x:v>
      </x:c>
      <x:c r="B40" s="11" t="str">
        <x:v>2026-07-10</x:v>
      </x:c>
      <x:c r="C40" s="11" t="str">
        <x:v>L3</x:v>
      </x:c>
      <x:c r="D40" s="11" t="str">
        <x:v>Empaque</x:v>
      </x:c>
      <x:c r="E40" s="11" t="n">
        <x:v>721.09</x:v>
      </x:c>
      <x:c r="F40" s="11" t="n">
        <x:v>1756.77</x:v>
      </x:c>
    </x:row>
    <x:row r="41">
      <x:c r="A41" s="11" t="n">
        <x:v>40</x:v>
      </x:c>
      <x:c r="B41" s="11" t="str">
        <x:v>2026-07-10</x:v>
      </x:c>
      <x:c r="C41" s="11" t="str">
        <x:v>L4</x:v>
      </x:c>
      <x:c r="D41" s="11" t="str">
        <x:v>Etiquetado</x:v>
      </x:c>
      <x:c r="E41" s="11" t="n">
        <x:v>719.94</x:v>
      </x:c>
      <x:c r="F41" s="11" t="n">
        <x:v>1734.36</x:v>
      </x:c>
    </x:row>
    <x:row r="42">
      <x:c r="A42" s="11" t="n">
        <x:v>41</x:v>
      </x:c>
      <x:c r="B42" s="11" t="str">
        <x:v>2026-07-11</x:v>
      </x:c>
      <x:c r="C42" s="11" t="str">
        <x:v>L1</x:v>
      </x:c>
      <x:c r="D42" s="11" t="str">
        <x:v>Envasado A</x:v>
      </x:c>
      <x:c r="E42" s="11" t="n">
        <x:v>668.5</x:v>
      </x:c>
      <x:c r="F42" s="11" t="n">
        <x:v>1418.54</x:v>
      </x:c>
    </x:row>
    <x:row r="43">
      <x:c r="A43" s="11" t="n">
        <x:v>42</x:v>
      </x:c>
      <x:c r="B43" s="11" t="str">
        <x:v>2026-07-11</x:v>
      </x:c>
      <x:c r="C43" s="11" t="str">
        <x:v>L2</x:v>
      </x:c>
      <x:c r="D43" s="11" t="str">
        <x:v>Envasado B</x:v>
      </x:c>
      <x:c r="E43" s="11" t="n">
        <x:v>724.19</x:v>
      </x:c>
      <x:c r="F43" s="11" t="n">
        <x:v>1645.28</x:v>
      </x:c>
    </x:row>
    <x:row r="44">
      <x:c r="A44" s="11" t="n">
        <x:v>43</x:v>
      </x:c>
      <x:c r="B44" s="11" t="str">
        <x:v>2026-07-11</x:v>
      </x:c>
      <x:c r="C44" s="11" t="str">
        <x:v>L3</x:v>
      </x:c>
      <x:c r="D44" s="11" t="str">
        <x:v>Empaque</x:v>
      </x:c>
      <x:c r="E44" s="11" t="n">
        <x:v>633.59</x:v>
      </x:c>
      <x:c r="F44" s="11" t="n">
        <x:v>1331.51</x:v>
      </x:c>
    </x:row>
    <x:row r="45">
      <x:c r="A45" s="11" t="n">
        <x:v>44</x:v>
      </x:c>
      <x:c r="B45" s="11" t="str">
        <x:v>2026-07-11</x:v>
      </x:c>
      <x:c r="C45" s="11" t="str">
        <x:v>L4</x:v>
      </x:c>
      <x:c r="D45" s="11" t="str">
        <x:v>Etiquetado</x:v>
      </x:c>
      <x:c r="E45" s="11" t="n">
        <x:v>578.62</x:v>
      </x:c>
      <x:c r="F45" s="11" t="n">
        <x:v>1233.9</x:v>
      </x:c>
    </x:row>
    <x:row r="46">
      <x:c r="A46" s="11" t="n">
        <x:v>45</x:v>
      </x:c>
      <x:c r="B46" s="11" t="str">
        <x:v>2026-07-12</x:v>
      </x:c>
      <x:c r="C46" s="11" t="str">
        <x:v>L1</x:v>
      </x:c>
      <x:c r="D46" s="11" t="str">
        <x:v>Envasado A</x:v>
      </x:c>
      <x:c r="E46" s="11" t="n">
        <x:v>677.86</x:v>
      </x:c>
      <x:c r="F46" s="11" t="n">
        <x:v>1620.48</x:v>
      </x:c>
    </x:row>
    <x:row r="47">
      <x:c r="A47" s="11" t="n">
        <x:v>46</x:v>
      </x:c>
      <x:c r="B47" s="11" t="str">
        <x:v>2026-07-12</x:v>
      </x:c>
      <x:c r="C47" s="11" t="str">
        <x:v>L2</x:v>
      </x:c>
      <x:c r="D47" s="11" t="str">
        <x:v>Envasado B</x:v>
      </x:c>
      <x:c r="E47" s="11" t="n">
        <x:v>712.72</x:v>
      </x:c>
      <x:c r="F47" s="11" t="n">
        <x:v>1471.06</x:v>
      </x:c>
    </x:row>
    <x:row r="48">
      <x:c r="A48" s="11" t="n">
        <x:v>47</x:v>
      </x:c>
      <x:c r="B48" s="11" t="str">
        <x:v>2026-07-12</x:v>
      </x:c>
      <x:c r="C48" s="11" t="str">
        <x:v>L3</x:v>
      </x:c>
      <x:c r="D48" s="11" t="str">
        <x:v>Empaque</x:v>
      </x:c>
      <x:c r="E48" s="11" t="n">
        <x:v>720.17</x:v>
      </x:c>
      <x:c r="F48" s="11" t="n">
        <x:v>1581.08</x:v>
      </x:c>
    </x:row>
    <x:row r="49">
      <x:c r="A49" s="11" t="n">
        <x:v>48</x:v>
      </x:c>
      <x:c r="B49" s="11" t="str">
        <x:v>2026-07-12</x:v>
      </x:c>
      <x:c r="C49" s="11" t="str">
        <x:v>L4</x:v>
      </x:c>
      <x:c r="D49" s="11" t="str">
        <x:v>Etiquetado</x:v>
      </x:c>
      <x:c r="E49" s="11" t="n">
        <x:v>607.3</x:v>
      </x:c>
      <x:c r="F49" s="11" t="n">
        <x:v>1377.22</x:v>
      </x:c>
    </x:row>
    <x:row r="50">
      <x:c r="A50" s="11" t="n">
        <x:v>49</x:v>
      </x:c>
      <x:c r="B50" s="11" t="str">
        <x:v>2026-07-13</x:v>
      </x:c>
      <x:c r="C50" s="11" t="str">
        <x:v>L1</x:v>
      </x:c>
      <x:c r="D50" s="11" t="str">
        <x:v>Envasado A</x:v>
      </x:c>
      <x:c r="E50" s="11" t="n">
        <x:v>438.61</x:v>
      </x:c>
      <x:c r="F50" s="11" t="n">
        <x:v>899.17</x:v>
      </x:c>
    </x:row>
    <x:row r="51">
      <x:c r="A51" s="11" t="n">
        <x:v>50</x:v>
      </x:c>
      <x:c r="B51" s="11" t="str">
        <x:v>2026-07-13</x:v>
      </x:c>
      <x:c r="C51" s="11" t="str">
        <x:v>L2</x:v>
      </x:c>
      <x:c r="D51" s="11" t="str">
        <x:v>Envasado B</x:v>
      </x:c>
      <x:c r="E51" s="11" t="n">
        <x:v>715.24</x:v>
      </x:c>
      <x:c r="F51" s="11" t="n">
        <x:v>1552.24</x:v>
      </x:c>
    </x:row>
    <x:row r="52">
      <x:c r="A52" s="11" t="n">
        <x:v>51</x:v>
      </x:c>
      <x:c r="B52" s="11" t="str">
        <x:v>2026-07-13</x:v>
      </x:c>
      <x:c r="C52" s="11" t="str">
        <x:v>L3</x:v>
      </x:c>
      <x:c r="D52" s="11" t="str">
        <x:v>Empaque</x:v>
      </x:c>
      <x:c r="E52" s="11" t="n">
        <x:v>717.08</x:v>
      </x:c>
      <x:c r="F52" s="11" t="n">
        <x:v>1694.55</x:v>
      </x:c>
    </x:row>
    <x:row r="53">
      <x:c r="A53" s="11" t="n">
        <x:v>52</x:v>
      </x:c>
      <x:c r="B53" s="11" t="str">
        <x:v>2026-07-13</x:v>
      </x:c>
      <x:c r="C53" s="11" t="str">
        <x:v>L4</x:v>
      </x:c>
      <x:c r="D53" s="11" t="str">
        <x:v>Etiquetado</x:v>
      </x:c>
      <x:c r="E53" s="11" t="n">
        <x:v>585.88</x:v>
      </x:c>
      <x:c r="F53" s="11" t="n">
        <x:v>1355.53</x:v>
      </x:c>
    </x:row>
    <x:row r="54">
      <x:c r="A54" s="11" t="n">
        <x:v>53</x:v>
      </x:c>
      <x:c r="B54" s="11" t="str">
        <x:v>2026-07-14</x:v>
      </x:c>
      <x:c r="C54" s="11" t="str">
        <x:v>L1</x:v>
      </x:c>
      <x:c r="D54" s="11" t="str">
        <x:v>Envasado A</x:v>
      </x:c>
      <x:c r="E54" s="11" t="n">
        <x:v>515.1</x:v>
      </x:c>
      <x:c r="F54" s="11" t="n">
        <x:v>1199.17</x:v>
      </x:c>
    </x:row>
    <x:row r="55">
      <x:c r="A55" s="11" t="n">
        <x:v>54</x:v>
      </x:c>
      <x:c r="B55" s="11" t="str">
        <x:v>2026-07-14</x:v>
      </x:c>
      <x:c r="C55" s="11" t="str">
        <x:v>L2</x:v>
      </x:c>
      <x:c r="D55" s="11" t="str">
        <x:v>Envasado B</x:v>
      </x:c>
      <x:c r="E55" s="11" t="n">
        <x:v>657.83</x:v>
      </x:c>
      <x:c r="F55" s="11" t="n">
        <x:v>1486.08</x:v>
      </x:c>
    </x:row>
    <x:row r="56">
      <x:c r="A56" s="11" t="n">
        <x:v>55</x:v>
      </x:c>
      <x:c r="B56" s="11" t="str">
        <x:v>2026-07-14</x:v>
      </x:c>
      <x:c r="C56" s="11" t="str">
        <x:v>L3</x:v>
      </x:c>
      <x:c r="D56" s="11" t="str">
        <x:v>Empaque</x:v>
      </x:c>
      <x:c r="E56" s="11" t="n">
        <x:v>698.89</x:v>
      </x:c>
      <x:c r="F56" s="11" t="n">
        <x:v>1583.18</x:v>
      </x:c>
    </x:row>
    <x:row r="57">
      <x:c r="A57" s="11" t="n">
        <x:v>56</x:v>
      </x:c>
      <x:c r="B57" s="11" t="str">
        <x:v>2026-07-14</x:v>
      </x:c>
      <x:c r="C57" s="11" t="str">
        <x:v>L4</x:v>
      </x:c>
      <x:c r="D57" s="11" t="str">
        <x:v>Etiquetado</x:v>
      </x:c>
      <x:c r="E57" s="11" t="n">
        <x:v>613.05</x:v>
      </x:c>
      <x:c r="F57" s="11" t="n">
        <x:v>1308.21</x:v>
      </x:c>
    </x:row>
    <x:row r="58">
      <x:c r="A58" s="11" t="n">
        <x:v>57</x:v>
      </x:c>
      <x:c r="B58" s="11" t="str">
        <x:v>2026-07-15</x:v>
      </x:c>
      <x:c r="C58" s="11" t="str">
        <x:v>L1</x:v>
      </x:c>
      <x:c r="D58" s="11" t="str">
        <x:v>Envasado A</x:v>
      </x:c>
      <x:c r="E58" s="11" t="n">
        <x:v>747.87</x:v>
      </x:c>
      <x:c r="F58" s="11" t="n">
        <x:v>1604.06</x:v>
      </x:c>
    </x:row>
    <x:row r="59">
      <x:c r="A59" s="11" t="n">
        <x:v>58</x:v>
      </x:c>
      <x:c r="B59" s="11" t="str">
        <x:v>2026-07-15</x:v>
      </x:c>
      <x:c r="C59" s="11" t="str">
        <x:v>L2</x:v>
      </x:c>
      <x:c r="D59" s="11" t="str">
        <x:v>Envasado B</x:v>
      </x:c>
      <x:c r="E59" s="11" t="n">
        <x:v>711.7</x:v>
      </x:c>
      <x:c r="F59" s="11" t="n">
        <x:v>1512.53</x:v>
      </x:c>
    </x:row>
    <x:row r="60">
      <x:c r="A60" s="11" t="n">
        <x:v>59</x:v>
      </x:c>
      <x:c r="B60" s="11" t="str">
        <x:v>2026-07-15</x:v>
      </x:c>
      <x:c r="C60" s="11" t="str">
        <x:v>L3</x:v>
      </x:c>
      <x:c r="D60" s="11" t="str">
        <x:v>Empaque</x:v>
      </x:c>
      <x:c r="E60" s="11" t="n">
        <x:v>570.62</x:v>
      </x:c>
      <x:c r="F60" s="11" t="n">
        <x:v>1388.3</x:v>
      </x:c>
    </x:row>
    <x:row r="61">
      <x:c r="A61" s="11" t="n">
        <x:v>60</x:v>
      </x:c>
      <x:c r="B61" s="11" t="str">
        <x:v>2026-07-15</x:v>
      </x:c>
      <x:c r="C61" s="11" t="str">
        <x:v>L4</x:v>
      </x:c>
      <x:c r="D61" s="11" t="str">
        <x:v>Etiquetado</x:v>
      </x:c>
      <x:c r="E61" s="11" t="n">
        <x:v>772.94</x:v>
      </x:c>
      <x:c r="F61" s="11" t="n">
        <x:v>1770.7</x:v>
      </x:c>
    </x:row>
    <x:row r="62">
      <x:c r="A62" s="11" t="n">
        <x:v>61</x:v>
      </x:c>
      <x:c r="B62" s="11" t="str">
        <x:v>2026-07-16</x:v>
      </x:c>
      <x:c r="C62" s="11" t="str">
        <x:v>L1</x:v>
      </x:c>
      <x:c r="D62" s="11" t="str">
        <x:v>Envasado A</x:v>
      </x:c>
      <x:c r="E62" s="11" t="n">
        <x:v>636.98</x:v>
      </x:c>
      <x:c r="F62" s="11" t="n">
        <x:v>1338.55</x:v>
      </x:c>
    </x:row>
    <x:row r="63">
      <x:c r="A63" s="11" t="n">
        <x:v>62</x:v>
      </x:c>
      <x:c r="B63" s="11" t="str">
        <x:v>2026-07-16</x:v>
      </x:c>
      <x:c r="C63" s="11" t="str">
        <x:v>L2</x:v>
      </x:c>
      <x:c r="D63" s="11" t="str">
        <x:v>Envasado B</x:v>
      </x:c>
      <x:c r="E63" s="11" t="n">
        <x:v>698.36</x:v>
      </x:c>
      <x:c r="F63" s="11" t="n">
        <x:v>1605.48</x:v>
      </x:c>
    </x:row>
    <x:row r="64">
      <x:c r="A64" s="11" t="n">
        <x:v>63</x:v>
      </x:c>
      <x:c r="B64" s="11" t="str">
        <x:v>2026-07-16</x:v>
      </x:c>
      <x:c r="C64" s="11" t="str">
        <x:v>L3</x:v>
      </x:c>
      <x:c r="D64" s="11" t="str">
        <x:v>Empaque</x:v>
      </x:c>
      <x:c r="E64" s="11" t="n">
        <x:v>678.23</x:v>
      </x:c>
      <x:c r="F64" s="11" t="n">
        <x:v>1493.95</x:v>
      </x:c>
    </x:row>
    <x:row r="65">
      <x:c r="A65" s="11" t="n">
        <x:v>64</x:v>
      </x:c>
      <x:c r="B65" s="11" t="str">
        <x:v>2026-07-16</x:v>
      </x:c>
      <x:c r="C65" s="11" t="str">
        <x:v>L4</x:v>
      </x:c>
      <x:c r="D65" s="11" t="str">
        <x:v>Etiquetado</x:v>
      </x:c>
      <x:c r="E65" s="11" t="n">
        <x:v>649.37</x:v>
      </x:c>
      <x:c r="F65" s="11" t="n">
        <x:v>1565.93</x:v>
      </x:c>
    </x:row>
    <x:row r="66">
      <x:c r="A66" s="11" t="n">
        <x:v>65</x:v>
      </x:c>
      <x:c r="B66" s="11" t="str">
        <x:v>2026-07-17</x:v>
      </x:c>
      <x:c r="C66" s="11" t="str">
        <x:v>L1</x:v>
      </x:c>
      <x:c r="D66" s="11" t="str">
        <x:v>Envasado A</x:v>
      </x:c>
      <x:c r="E66" s="11" t="n">
        <x:v>591.32</x:v>
      </x:c>
      <x:c r="F66" s="11" t="n">
        <x:v>1272.33</x:v>
      </x:c>
    </x:row>
    <x:row r="67">
      <x:c r="A67" s="11" t="n">
        <x:v>66</x:v>
      </x:c>
      <x:c r="B67" s="11" t="str">
        <x:v>2026-07-17</x:v>
      </x:c>
      <x:c r="C67" s="11" t="str">
        <x:v>L2</x:v>
      </x:c>
      <x:c r="D67" s="11" t="str">
        <x:v>Envasado B</x:v>
      </x:c>
      <x:c r="E67" s="11" t="n">
        <x:v>640.82</x:v>
      </x:c>
      <x:c r="F67" s="11" t="n">
        <x:v>1422.71</x:v>
      </x:c>
    </x:row>
    <x:row r="68">
      <x:c r="A68" s="11" t="n">
        <x:v>67</x:v>
      </x:c>
      <x:c r="B68" s="11" t="str">
        <x:v>2026-07-17</x:v>
      </x:c>
      <x:c r="C68" s="11" t="str">
        <x:v>L3</x:v>
      </x:c>
      <x:c r="D68" s="11" t="str">
        <x:v>Empaque</x:v>
      </x:c>
      <x:c r="E68" s="11" t="n">
        <x:v>584.02</x:v>
      </x:c>
      <x:c r="F68" s="11" t="n">
        <x:v>1213.72</x:v>
      </x:c>
    </x:row>
    <x:row r="69">
      <x:c r="A69" s="11" t="n">
        <x:v>68</x:v>
      </x:c>
      <x:c r="B69" s="11" t="str">
        <x:v>2026-07-17</x:v>
      </x:c>
      <x:c r="C69" s="11" t="str">
        <x:v>L4</x:v>
      </x:c>
      <x:c r="D69" s="11" t="str">
        <x:v>Etiquetado</x:v>
      </x:c>
      <x:c r="E69" s="11" t="n">
        <x:v>521.01</x:v>
      </x:c>
      <x:c r="F69" s="11" t="n">
        <x:v>1220.76</x:v>
      </x:c>
    </x:row>
    <x:row r="70">
      <x:c r="A70" s="11" t="n">
        <x:v>69</x:v>
      </x:c>
      <x:c r="B70" s="11" t="str">
        <x:v>2026-07-18</x:v>
      </x:c>
      <x:c r="C70" s="11" t="str">
        <x:v>L1</x:v>
      </x:c>
      <x:c r="D70" s="11" t="str">
        <x:v>Envasado A</x:v>
      </x:c>
      <x:c r="E70" s="11" t="n">
        <x:v>751.26</x:v>
      </x:c>
      <x:c r="F70" s="11" t="n">
        <x:v>1597.97</x:v>
      </x:c>
    </x:row>
    <x:row r="71">
      <x:c r="A71" s="11" t="n">
        <x:v>70</x:v>
      </x:c>
      <x:c r="B71" s="11" t="str">
        <x:v>2026-07-18</x:v>
      </x:c>
      <x:c r="C71" s="11" t="str">
        <x:v>L2</x:v>
      </x:c>
      <x:c r="D71" s="11" t="str">
        <x:v>Envasado B</x:v>
      </x:c>
      <x:c r="E71" s="11" t="n">
        <x:v>616.17</x:v>
      </x:c>
      <x:c r="F71" s="11" t="n">
        <x:v>1354.87</x:v>
      </x:c>
    </x:row>
    <x:row r="72">
      <x:c r="A72" s="11" t="n">
        <x:v>71</x:v>
      </x:c>
      <x:c r="B72" s="11" t="str">
        <x:v>2026-07-18</x:v>
      </x:c>
      <x:c r="C72" s="11" t="str">
        <x:v>L3</x:v>
      </x:c>
      <x:c r="D72" s="11" t="str">
        <x:v>Empaque</x:v>
      </x:c>
      <x:c r="E72" s="11" t="n">
        <x:v>533.36</x:v>
      </x:c>
      <x:c r="F72" s="11" t="n">
        <x:v>1222.45</x:v>
      </x:c>
    </x:row>
    <x:row r="73">
      <x:c r="A73" s="11" t="n">
        <x:v>72</x:v>
      </x:c>
      <x:c r="B73" s="11" t="str">
        <x:v>2026-07-18</x:v>
      </x:c>
      <x:c r="C73" s="11" t="str">
        <x:v>L4</x:v>
      </x:c>
      <x:c r="D73" s="11" t="str">
        <x:v>Etiquetado</x:v>
      </x:c>
      <x:c r="E73" s="11" t="n">
        <x:v>488.42</x:v>
      </x:c>
      <x:c r="F73" s="11" t="n">
        <x:v>1083.25</x:v>
      </x:c>
    </x:row>
    <x:row r="74">
      <x:c r="A74" s="11" t="n">
        <x:v>73</x:v>
      </x:c>
      <x:c r="B74" s="11" t="str">
        <x:v>2026-07-19</x:v>
      </x:c>
      <x:c r="C74" s="11" t="str">
        <x:v>L1</x:v>
      </x:c>
      <x:c r="D74" s="11" t="str">
        <x:v>Envasado A</x:v>
      </x:c>
      <x:c r="E74" s="11" t="n">
        <x:v>771.43</x:v>
      </x:c>
      <x:c r="F74" s="11" t="n">
        <x:v>1715.24</x:v>
      </x:c>
    </x:row>
    <x:row r="75">
      <x:c r="A75" s="11" t="n">
        <x:v>74</x:v>
      </x:c>
      <x:c r="B75" s="11" t="str">
        <x:v>2026-07-19</x:v>
      </x:c>
      <x:c r="C75" s="11" t="str">
        <x:v>L2</x:v>
      </x:c>
      <x:c r="D75" s="11" t="str">
        <x:v>Envasado B</x:v>
      </x:c>
      <x:c r="E75" s="11" t="n">
        <x:v>838.34</x:v>
      </x:c>
      <x:c r="F75" s="11" t="n">
        <x:v>1727.29</x:v>
      </x:c>
    </x:row>
    <x:row r="76">
      <x:c r="A76" s="11" t="n">
        <x:v>75</x:v>
      </x:c>
      <x:c r="B76" s="11" t="str">
        <x:v>2026-07-19</x:v>
      </x:c>
      <x:c r="C76" s="11" t="str">
        <x:v>L3</x:v>
      </x:c>
      <x:c r="D76" s="11" t="str">
        <x:v>Empaque</x:v>
      </x:c>
      <x:c r="E76" s="11" t="n">
        <x:v>592.84</x:v>
      </x:c>
      <x:c r="F76" s="11" t="n">
        <x:v>1244.87</x:v>
      </x:c>
    </x:row>
    <x:row r="77">
      <x:c r="A77" s="11" t="n">
        <x:v>76</x:v>
      </x:c>
      <x:c r="B77" s="11" t="str">
        <x:v>2026-07-19</x:v>
      </x:c>
      <x:c r="C77" s="11" t="str">
        <x:v>L4</x:v>
      </x:c>
      <x:c r="D77" s="11" t="str">
        <x:v>Etiquetado</x:v>
      </x:c>
      <x:c r="E77" s="11" t="n">
        <x:v>599.31</x:v>
      </x:c>
      <x:c r="F77" s="11" t="n">
        <x:v>1254.95</x:v>
      </x:c>
    </x:row>
    <x:row r="78">
      <x:c r="A78" s="11" t="n">
        <x:v>77</x:v>
      </x:c>
      <x:c r="B78" s="11" t="str">
        <x:v>2026-07-20</x:v>
      </x:c>
      <x:c r="C78" s="11" t="str">
        <x:v>L1</x:v>
      </x:c>
      <x:c r="D78" s="11" t="str">
        <x:v>Envasado A</x:v>
      </x:c>
      <x:c r="E78" s="11" t="n">
        <x:v>590.04</x:v>
      </x:c>
      <x:c r="F78" s="11" t="n">
        <x:v>1360.67</x:v>
      </x:c>
    </x:row>
    <x:row r="79">
      <x:c r="A79" s="11" t="n">
        <x:v>78</x:v>
      </x:c>
      <x:c r="B79" s="11" t="str">
        <x:v>2026-07-20</x:v>
      </x:c>
      <x:c r="C79" s="11" t="str">
        <x:v>L2</x:v>
      </x:c>
      <x:c r="D79" s="11" t="str">
        <x:v>Envasado B</x:v>
      </x:c>
      <x:c r="E79" s="11" t="n">
        <x:v>610.6</x:v>
      </x:c>
      <x:c r="F79" s="11" t="n">
        <x:v>1340.35</x:v>
      </x:c>
    </x:row>
    <x:row r="80">
      <x:c r="A80" s="11" t="n">
        <x:v>79</x:v>
      </x:c>
      <x:c r="B80" s="11" t="str">
        <x:v>2026-07-20</x:v>
      </x:c>
      <x:c r="C80" s="11" t="str">
        <x:v>L3</x:v>
      </x:c>
      <x:c r="D80" s="11" t="str">
        <x:v>Empaque</x:v>
      </x:c>
      <x:c r="E80" s="11" t="n">
        <x:v>585.98</x:v>
      </x:c>
      <x:c r="F80" s="11" t="n">
        <x:v>1404.91</x:v>
      </x:c>
    </x:row>
    <x:row r="81">
      <x:c r="A81" s="11" t="n">
        <x:v>80</x:v>
      </x:c>
      <x:c r="B81" s="11" t="str">
        <x:v>2026-07-20</x:v>
      </x:c>
      <x:c r="C81" s="11" t="str">
        <x:v>L4</x:v>
      </x:c>
      <x:c r="D81" s="11" t="str">
        <x:v>Etiquetado</x:v>
      </x:c>
      <x:c r="E81" s="11" t="n">
        <x:v>678.77</x:v>
      </x:c>
      <x:c r="F81" s="11" t="n">
        <x:v>1452.78</x:v>
      </x:c>
    </x:row>
    <x:row r="82">
      <x:c r="A82" s="11" t="n">
        <x:v>81</x:v>
      </x:c>
      <x:c r="B82" s="11" t="str">
        <x:v>2026-07-21</x:v>
      </x:c>
      <x:c r="C82" s="11" t="str">
        <x:v>L1</x:v>
      </x:c>
      <x:c r="D82" s="11" t="str">
        <x:v>Envasado A</x:v>
      </x:c>
      <x:c r="E82" s="11" t="n">
        <x:v>702.55</x:v>
      </x:c>
      <x:c r="F82" s="11" t="n">
        <x:v>1712.47</x:v>
      </x:c>
    </x:row>
    <x:row r="83">
      <x:c r="A83" s="11" t="n">
        <x:v>82</x:v>
      </x:c>
      <x:c r="B83" s="11" t="str">
        <x:v>2026-07-21</x:v>
      </x:c>
      <x:c r="C83" s="11" t="str">
        <x:v>L2</x:v>
      </x:c>
      <x:c r="D83" s="11" t="str">
        <x:v>Envasado B</x:v>
      </x:c>
      <x:c r="E83" s="11" t="n">
        <x:v>625.12</x:v>
      </x:c>
      <x:c r="F83" s="11" t="n">
        <x:v>1376.17</x:v>
      </x:c>
    </x:row>
    <x:row r="84">
      <x:c r="A84" s="11" t="n">
        <x:v>83</x:v>
      </x:c>
      <x:c r="B84" s="11" t="str">
        <x:v>2026-07-21</x:v>
      </x:c>
      <x:c r="C84" s="11" t="str">
        <x:v>L3</x:v>
      </x:c>
      <x:c r="D84" s="11" t="str">
        <x:v>Empaque</x:v>
      </x:c>
      <x:c r="E84" s="11" t="n">
        <x:v>773.12</x:v>
      </x:c>
      <x:c r="F84" s="11" t="n">
        <x:v>1639.24</x:v>
      </x:c>
    </x:row>
    <x:row r="85">
      <x:c r="A85" s="11" t="n">
        <x:v>84</x:v>
      </x:c>
      <x:c r="B85" s="11" t="str">
        <x:v>2026-07-21</x:v>
      </x:c>
      <x:c r="C85" s="11" t="str">
        <x:v>L4</x:v>
      </x:c>
      <x:c r="D85" s="11" t="str">
        <x:v>Etiquetado</x:v>
      </x:c>
      <x:c r="E85" s="11" t="n">
        <x:v>738.77</x:v>
      </x:c>
      <x:c r="F85" s="11" t="n">
        <x:v>1729.71</x:v>
      </x:c>
    </x:row>
    <x:row r="86">
      <x:c r="A86" s="11" t="n">
        <x:v>85</x:v>
      </x:c>
      <x:c r="B86" s="11" t="str">
        <x:v>2026-07-22</x:v>
      </x:c>
      <x:c r="C86" s="11" t="str">
        <x:v>L1</x:v>
      </x:c>
      <x:c r="D86" s="11" t="str">
        <x:v>Envasado A</x:v>
      </x:c>
      <x:c r="E86" s="11" t="n">
        <x:v>565.12</x:v>
      </x:c>
      <x:c r="F86" s="11" t="n">
        <x:v>1269.17</x:v>
      </x:c>
    </x:row>
    <x:row r="87">
      <x:c r="A87" s="11" t="n">
        <x:v>86</x:v>
      </x:c>
      <x:c r="B87" s="11" t="str">
        <x:v>2026-07-22</x:v>
      </x:c>
      <x:c r="C87" s="11" t="str">
        <x:v>L2</x:v>
      </x:c>
      <x:c r="D87" s="11" t="str">
        <x:v>Envasado B</x:v>
      </x:c>
      <x:c r="E87" s="11" t="n">
        <x:v>767.9</x:v>
      </x:c>
      <x:c r="F87" s="11" t="n">
        <x:v>1736.67</x:v>
      </x:c>
    </x:row>
    <x:row r="88">
      <x:c r="A88" s="11" t="n">
        <x:v>87</x:v>
      </x:c>
      <x:c r="B88" s="11" t="str">
        <x:v>2026-07-22</x:v>
      </x:c>
      <x:c r="C88" s="11" t="str">
        <x:v>L3</x:v>
      </x:c>
      <x:c r="D88" s="11" t="str">
        <x:v>Empaque</x:v>
      </x:c>
      <x:c r="E88" s="11" t="n">
        <x:v>567.86</x:v>
      </x:c>
      <x:c r="F88" s="11" t="n">
        <x:v>1289.39</x:v>
      </x:c>
    </x:row>
    <x:row r="89">
      <x:c r="A89" s="11" t="n">
        <x:v>88</x:v>
      </x:c>
      <x:c r="B89" s="11" t="str">
        <x:v>2026-07-22</x:v>
      </x:c>
      <x:c r="C89" s="11" t="str">
        <x:v>L4</x:v>
      </x:c>
      <x:c r="D89" s="11" t="str">
        <x:v>Etiquetado</x:v>
      </x:c>
      <x:c r="E89" s="11" t="n">
        <x:v>457.95</x:v>
      </x:c>
      <x:c r="F89" s="11" t="n">
        <x:v>1050.07</x:v>
      </x:c>
    </x:row>
    <x:row r="90">
      <x:c r="A90" s="11" t="n">
        <x:v>89</x:v>
      </x:c>
      <x:c r="B90" s="11" t="str">
        <x:v>2026-07-23</x:v>
      </x:c>
      <x:c r="C90" s="11" t="str">
        <x:v>L1</x:v>
      </x:c>
      <x:c r="D90" s="11" t="str">
        <x:v>Envasado A</x:v>
      </x:c>
      <x:c r="E90" s="11" t="n">
        <x:v>661.41</x:v>
      </x:c>
      <x:c r="F90" s="11" t="n">
        <x:v>1606.3</x:v>
      </x:c>
    </x:row>
    <x:row r="91">
      <x:c r="A91" s="11" t="n">
        <x:v>90</x:v>
      </x:c>
      <x:c r="B91" s="11" t="str">
        <x:v>2026-07-23</x:v>
      </x:c>
      <x:c r="C91" s="11" t="str">
        <x:v>L2</x:v>
      </x:c>
      <x:c r="D91" s="11" t="str">
        <x:v>Envasado B</x:v>
      </x:c>
      <x:c r="E91" s="11" t="n">
        <x:v>588.53</x:v>
      </x:c>
      <x:c r="F91" s="11" t="n">
        <x:v>1298.19</x:v>
      </x:c>
    </x:row>
    <x:row r="92">
      <x:c r="A92" s="11" t="n">
        <x:v>91</x:v>
      </x:c>
      <x:c r="B92" s="11" t="str">
        <x:v>2026-07-23</x:v>
      </x:c>
      <x:c r="C92" s="11" t="str">
        <x:v>L3</x:v>
      </x:c>
      <x:c r="D92" s="11" t="str">
        <x:v>Empaque</x:v>
      </x:c>
      <x:c r="E92" s="11" t="n">
        <x:v>541.31</x:v>
      </x:c>
      <x:c r="F92" s="11" t="n">
        <x:v>1319.28</x:v>
      </x:c>
    </x:row>
    <x:row r="93">
      <x:c r="A93" s="11" t="n">
        <x:v>92</x:v>
      </x:c>
      <x:c r="B93" s="11" t="str">
        <x:v>2026-07-23</x:v>
      </x:c>
      <x:c r="C93" s="11" t="str">
        <x:v>L4</x:v>
      </x:c>
      <x:c r="D93" s="11" t="str">
        <x:v>Etiquetado</x:v>
      </x:c>
      <x:c r="E93" s="11" t="n">
        <x:v>735.52</x:v>
      </x:c>
      <x:c r="F93" s="11" t="n">
        <x:v>1664.24</x:v>
      </x:c>
    </x:row>
    <x:row r="94">
      <x:c r="A94" s="11" t="n">
        <x:v>93</x:v>
      </x:c>
      <x:c r="B94" s="11" t="str">
        <x:v>2026-07-24</x:v>
      </x:c>
      <x:c r="C94" s="11" t="str">
        <x:v>L1</x:v>
      </x:c>
      <x:c r="D94" s="11" t="str">
        <x:v>Envasado A</x:v>
      </x:c>
      <x:c r="E94" s="11" t="n">
        <x:v>482.93</x:v>
      </x:c>
      <x:c r="F94" s="11" t="n">
        <x:v>1082.12</x:v>
      </x:c>
    </x:row>
    <x:row r="95">
      <x:c r="A95" s="11" t="n">
        <x:v>94</x:v>
      </x:c>
      <x:c r="B95" s="11" t="str">
        <x:v>2026-07-24</x:v>
      </x:c>
      <x:c r="C95" s="11" t="str">
        <x:v>L2</x:v>
      </x:c>
      <x:c r="D95" s="11" t="str">
        <x:v>Envasado B</x:v>
      </x:c>
      <x:c r="E95" s="11" t="n">
        <x:v>527.33</x:v>
      </x:c>
      <x:c r="F95" s="11" t="n">
        <x:v>1107.94</x:v>
      </x:c>
    </x:row>
    <x:row r="96">
      <x:c r="A96" s="11" t="n">
        <x:v>95</x:v>
      </x:c>
      <x:c r="B96" s="11" t="str">
        <x:v>2026-07-24</x:v>
      </x:c>
      <x:c r="C96" s="11" t="str">
        <x:v>L3</x:v>
      </x:c>
      <x:c r="D96" s="11" t="str">
        <x:v>Empaque</x:v>
      </x:c>
      <x:c r="E96" s="11" t="n">
        <x:v>721.86</x:v>
      </x:c>
      <x:c r="F96" s="11" t="n">
        <x:v>1524.71</x:v>
      </x:c>
    </x:row>
    <x:row r="97">
      <x:c r="A97" s="11" t="n">
        <x:v>96</x:v>
      </x:c>
      <x:c r="B97" s="11" t="str">
        <x:v>2026-07-24</x:v>
      </x:c>
      <x:c r="C97" s="11" t="str">
        <x:v>L4</x:v>
      </x:c>
      <x:c r="D97" s="11" t="str">
        <x:v>Etiquetado</x:v>
      </x:c>
      <x:c r="E97" s="11" t="n">
        <x:v>626.09</x:v>
      </x:c>
      <x:c r="F97" s="11" t="n">
        <x:v>1315.13</x:v>
      </x:c>
    </x:row>
    <x:row r="98">
      <x:c r="A98" s="11" t="n">
        <x:v>97</x:v>
      </x:c>
      <x:c r="B98" s="11" t="str">
        <x:v>2026-07-25</x:v>
      </x:c>
      <x:c r="C98" s="11" t="str">
        <x:v>L1</x:v>
      </x:c>
      <x:c r="D98" s="11" t="str">
        <x:v>Envasado A</x:v>
      </x:c>
      <x:c r="E98" s="11" t="n">
        <x:v>519.67</x:v>
      </x:c>
      <x:c r="F98" s="11" t="n">
        <x:v>1076.31</x:v>
      </x:c>
    </x:row>
    <x:row r="99">
      <x:c r="A99" s="11" t="n">
        <x:v>98</x:v>
      </x:c>
      <x:c r="B99" s="11" t="str">
        <x:v>2026-07-25</x:v>
      </x:c>
      <x:c r="C99" s="11" t="str">
        <x:v>L2</x:v>
      </x:c>
      <x:c r="D99" s="11" t="str">
        <x:v>Envasado B</x:v>
      </x:c>
      <x:c r="E99" s="11" t="n">
        <x:v>715.64</x:v>
      </x:c>
      <x:c r="F99" s="11" t="n">
        <x:v>1674.72</x:v>
      </x:c>
    </x:row>
    <x:row r="100">
      <x:c r="A100" s="11" t="n">
        <x:v>99</x:v>
      </x:c>
      <x:c r="B100" s="11" t="str">
        <x:v>2026-07-25</x:v>
      </x:c>
      <x:c r="C100" s="11" t="str">
        <x:v>L3</x:v>
      </x:c>
      <x:c r="D100" s="11" t="str">
        <x:v>Empaque</x:v>
      </x:c>
      <x:c r="E100" s="11" t="n">
        <x:v>751.57</x:v>
      </x:c>
      <x:c r="F100" s="11" t="n">
        <x:v>1615.61</x:v>
      </x:c>
    </x:row>
    <x:row r="101">
      <x:c r="A101" s="11" t="n">
        <x:v>100</x:v>
      </x:c>
      <x:c r="B101" s="11" t="str">
        <x:v>2026-07-25</x:v>
      </x:c>
      <x:c r="C101" s="11" t="str">
        <x:v>L4</x:v>
      </x:c>
      <x:c r="D101" s="11" t="str">
        <x:v>Etiquetado</x:v>
      </x:c>
      <x:c r="E101" s="11" t="n">
        <x:v>598.74</x:v>
      </x:c>
      <x:c r="F101" s="11" t="n">
        <x:v>1373.2</x:v>
      </x:c>
    </x:row>
    <x:row r="102">
      <x:c r="A102" s="11" t="n">
        <x:v>101</x:v>
      </x:c>
      <x:c r="B102" s="11" t="str">
        <x:v>2026-07-26</x:v>
      </x:c>
      <x:c r="C102" s="11" t="str">
        <x:v>L1</x:v>
      </x:c>
      <x:c r="D102" s="11" t="str">
        <x:v>Envasado A</x:v>
      </x:c>
      <x:c r="E102" s="11" t="n">
        <x:v>605.5</x:v>
      </x:c>
      <x:c r="F102" s="11" t="n">
        <x:v>1480.14</x:v>
      </x:c>
    </x:row>
    <x:row r="103">
      <x:c r="A103" s="11" t="n">
        <x:v>102</x:v>
      </x:c>
      <x:c r="B103" s="11" t="str">
        <x:v>2026-07-26</x:v>
      </x:c>
      <x:c r="C103" s="11" t="str">
        <x:v>L2</x:v>
      </x:c>
      <x:c r="D103" s="11" t="str">
        <x:v>Envasado B</x:v>
      </x:c>
      <x:c r="E103" s="11" t="n">
        <x:v>567.92</x:v>
      </x:c>
      <x:c r="F103" s="11" t="n">
        <x:v>1345.62</x:v>
      </x:c>
    </x:row>
    <x:row r="104">
      <x:c r="A104" s="11" t="n">
        <x:v>103</x:v>
      </x:c>
      <x:c r="B104" s="11" t="str">
        <x:v>2026-07-26</x:v>
      </x:c>
      <x:c r="C104" s="11" t="str">
        <x:v>L3</x:v>
      </x:c>
      <x:c r="D104" s="11" t="str">
        <x:v>Empaque</x:v>
      </x:c>
      <x:c r="E104" s="11" t="n">
        <x:v>551.72</x:v>
      </x:c>
      <x:c r="F104" s="11" t="n">
        <x:v>1225.43</x:v>
      </x:c>
    </x:row>
    <x:row r="105">
      <x:c r="A105" s="11" t="n">
        <x:v>104</x:v>
      </x:c>
      <x:c r="B105" s="11" t="str">
        <x:v>2026-07-26</x:v>
      </x:c>
      <x:c r="C105" s="11" t="str">
        <x:v>L4</x:v>
      </x:c>
      <x:c r="D105" s="11" t="str">
        <x:v>Etiquetado</x:v>
      </x:c>
      <x:c r="E105" s="11" t="n">
        <x:v>619.04</x:v>
      </x:c>
      <x:c r="F105" s="11" t="n">
        <x:v>1502.21</x:v>
      </x:c>
    </x:row>
    <x:row r="106">
      <x:c r="A106" s="11" t="n">
        <x:v>105</x:v>
      </x:c>
      <x:c r="B106" s="11" t="str">
        <x:v>2026-07-27</x:v>
      </x:c>
      <x:c r="C106" s="11" t="str">
        <x:v>L1</x:v>
      </x:c>
      <x:c r="D106" s="11" t="str">
        <x:v>Envasado A</x:v>
      </x:c>
      <x:c r="E106" s="11" t="n">
        <x:v>734.58</x:v>
      </x:c>
      <x:c r="F106" s="11" t="n">
        <x:v>1595.56</x:v>
      </x:c>
    </x:row>
    <x:row r="107">
      <x:c r="A107" s="11" t="n">
        <x:v>106</x:v>
      </x:c>
      <x:c r="B107" s="11" t="str">
        <x:v>2026-07-27</x:v>
      </x:c>
      <x:c r="C107" s="11" t="str">
        <x:v>L2</x:v>
      </x:c>
      <x:c r="D107" s="11" t="str">
        <x:v>Envasado B</x:v>
      </x:c>
      <x:c r="E107" s="11" t="n">
        <x:v>514.27</x:v>
      </x:c>
      <x:c r="F107" s="11" t="n">
        <x:v>1230.73</x:v>
      </x:c>
    </x:row>
    <x:row r="108">
      <x:c r="A108" s="11" t="n">
        <x:v>107</x:v>
      </x:c>
      <x:c r="B108" s="11" t="str">
        <x:v>2026-07-27</x:v>
      </x:c>
      <x:c r="C108" s="11" t="str">
        <x:v>L3</x:v>
      </x:c>
      <x:c r="D108" s="11" t="str">
        <x:v>Empaque</x:v>
      </x:c>
      <x:c r="E108" s="11" t="n">
        <x:v>702.14</x:v>
      </x:c>
      <x:c r="F108" s="11" t="n">
        <x:v>1527.22</x:v>
      </x:c>
    </x:row>
    <x:row r="109">
      <x:c r="A109" s="11" t="n">
        <x:v>108</x:v>
      </x:c>
      <x:c r="B109" s="11" t="str">
        <x:v>2026-07-27</x:v>
      </x:c>
      <x:c r="C109" s="11" t="str">
        <x:v>L4</x:v>
      </x:c>
      <x:c r="D109" s="11" t="str">
        <x:v>Etiquetado</x:v>
      </x:c>
      <x:c r="E109" s="11" t="n">
        <x:v>591.85</x:v>
      </x:c>
      <x:c r="F109" s="11" t="n">
        <x:v>1234.63</x:v>
      </x:c>
    </x:row>
    <x:row r="110">
      <x:c r="A110" s="11" t="n">
        <x:v>109</x:v>
      </x:c>
      <x:c r="B110" s="11" t="str">
        <x:v>2026-07-28</x:v>
      </x:c>
      <x:c r="C110" s="11" t="str">
        <x:v>L1</x:v>
      </x:c>
      <x:c r="D110" s="11" t="str">
        <x:v>Envasado A</x:v>
      </x:c>
      <x:c r="E110" s="11" t="n">
        <x:v>740.75</x:v>
      </x:c>
      <x:c r="F110" s="11" t="n">
        <x:v>1798.5</x:v>
      </x:c>
    </x:row>
    <x:row r="111">
      <x:c r="A111" s="11" t="n">
        <x:v>110</x:v>
      </x:c>
      <x:c r="B111" s="11" t="str">
        <x:v>2026-07-28</x:v>
      </x:c>
      <x:c r="C111" s="11" t="str">
        <x:v>L2</x:v>
      </x:c>
      <x:c r="D111" s="11" t="str">
        <x:v>Envasado B</x:v>
      </x:c>
      <x:c r="E111" s="11" t="n">
        <x:v>685.86</x:v>
      </x:c>
      <x:c r="F111" s="11" t="n">
        <x:v>1451.31</x:v>
      </x:c>
    </x:row>
    <x:row r="112">
      <x:c r="A112" s="11" t="n">
        <x:v>111</x:v>
      </x:c>
      <x:c r="B112" s="11" t="str">
        <x:v>2026-07-28</x:v>
      </x:c>
      <x:c r="C112" s="11" t="str">
        <x:v>L3</x:v>
      </x:c>
      <x:c r="D112" s="11" t="str">
        <x:v>Empaque</x:v>
      </x:c>
      <x:c r="E112" s="11" t="n">
        <x:v>751.18</x:v>
      </x:c>
      <x:c r="F112" s="11" t="n">
        <x:v>1706.43</x:v>
      </x:c>
    </x:row>
    <x:row r="113">
      <x:c r="A113" s="11" t="n">
        <x:v>112</x:v>
      </x:c>
      <x:c r="B113" s="11" t="str">
        <x:v>2026-07-28</x:v>
      </x:c>
      <x:c r="C113" s="11" t="str">
        <x:v>L4</x:v>
      </x:c>
      <x:c r="D113" s="11" t="str">
        <x:v>Etiquetado</x:v>
      </x:c>
      <x:c r="E113" s="11" t="n">
        <x:v>669.48</x:v>
      </x:c>
      <x:c r="F113" s="11" t="n">
        <x:v>1504.42</x:v>
      </x:c>
    </x:row>
    <x:row r="114">
      <x:c r="A114" s="11" t="n">
        <x:v>113</x:v>
      </x:c>
      <x:c r="B114" s="11" t="str">
        <x:v>2026-07-29</x:v>
      </x:c>
      <x:c r="C114" s="11" t="str">
        <x:v>L1</x:v>
      </x:c>
      <x:c r="D114" s="11" t="str">
        <x:v>Envasado A</x:v>
      </x:c>
      <x:c r="E114" s="11" t="n">
        <x:v>773.19</x:v>
      </x:c>
      <x:c r="F114" s="11" t="n">
        <x:v>1716.17</x:v>
      </x:c>
    </x:row>
    <x:row r="115">
      <x:c r="A115" s="11" t="n">
        <x:v>114</x:v>
      </x:c>
      <x:c r="B115" s="11" t="str">
        <x:v>2026-07-29</x:v>
      </x:c>
      <x:c r="C115" s="11" t="str">
        <x:v>L2</x:v>
      </x:c>
      <x:c r="D115" s="11" t="str">
        <x:v>Envasado B</x:v>
      </x:c>
      <x:c r="E115" s="11" t="n">
        <x:v>465.56</x:v>
      </x:c>
      <x:c r="F115" s="11" t="n">
        <x:v>1049.13</x:v>
      </x:c>
    </x:row>
    <x:row r="116">
      <x:c r="A116" s="11" t="n">
        <x:v>115</x:v>
      </x:c>
      <x:c r="B116" s="11" t="str">
        <x:v>2026-07-29</x:v>
      </x:c>
      <x:c r="C116" s="11" t="str">
        <x:v>L3</x:v>
      </x:c>
      <x:c r="D116" s="11" t="str">
        <x:v>Empaque</x:v>
      </x:c>
      <x:c r="E116" s="11" t="n">
        <x:v>608.31</x:v>
      </x:c>
      <x:c r="F116" s="11" t="n">
        <x:v>1372.35</x:v>
      </x:c>
    </x:row>
    <x:row r="117">
      <x:c r="A117" s="11" t="n">
        <x:v>116</x:v>
      </x:c>
      <x:c r="B117" s="11" t="str">
        <x:v>2026-07-29</x:v>
      </x:c>
      <x:c r="C117" s="11" t="str">
        <x:v>L4</x:v>
      </x:c>
      <x:c r="D117" s="11" t="str">
        <x:v>Etiquetado</x:v>
      </x:c>
      <x:c r="E117" s="11" t="n">
        <x:v>523.55</x:v>
      </x:c>
      <x:c r="F117" s="11" t="n">
        <x:v>1282.27</x:v>
      </x:c>
    </x:row>
    <x:row r="118">
      <x:c r="A118" s="11" t="n">
        <x:v>117</x:v>
      </x:c>
      <x:c r="B118" s="11" t="str">
        <x:v>2026-07-30</x:v>
      </x:c>
      <x:c r="C118" s="11" t="str">
        <x:v>L1</x:v>
      </x:c>
      <x:c r="D118" s="11" t="str">
        <x:v>Envasado A</x:v>
      </x:c>
      <x:c r="E118" s="11" t="n">
        <x:v>720.31</x:v>
      </x:c>
      <x:c r="F118" s="11" t="n">
        <x:v>1593.46</x:v>
      </x:c>
    </x:row>
    <x:row r="119">
      <x:c r="A119" s="11" t="n">
        <x:v>118</x:v>
      </x:c>
      <x:c r="B119" s="11" t="str">
        <x:v>2026-07-30</x:v>
      </x:c>
      <x:c r="C119" s="11" t="str">
        <x:v>L2</x:v>
      </x:c>
      <x:c r="D119" s="11" t="str">
        <x:v>Envasado B</x:v>
      </x:c>
      <x:c r="E119" s="11" t="n">
        <x:v>534.95</x:v>
      </x:c>
      <x:c r="F119" s="11" t="n">
        <x:v>1228.52</x:v>
      </x:c>
    </x:row>
    <x:row r="120">
      <x:c r="A120" s="11" t="n">
        <x:v>119</x:v>
      </x:c>
      <x:c r="B120" s="11" t="str">
        <x:v>2026-07-30</x:v>
      </x:c>
      <x:c r="C120" s="11" t="str">
        <x:v>L3</x:v>
      </x:c>
      <x:c r="D120" s="11" t="str">
        <x:v>Empaque</x:v>
      </x:c>
      <x:c r="E120" s="11" t="n">
        <x:v>739.22</x:v>
      </x:c>
      <x:c r="F120" s="11" t="n">
        <x:v>1726.57</x:v>
      </x:c>
    </x:row>
    <x:row r="121">
      <x:c r="A121" s="11" t="n">
        <x:v>120</x:v>
      </x:c>
      <x:c r="B121" s="11" t="str">
        <x:v>2026-07-30</x:v>
      </x:c>
      <x:c r="C121" s="11" t="str">
        <x:v>L4</x:v>
      </x:c>
      <x:c r="D121" s="11" t="str">
        <x:v>Etiquetado</x:v>
      </x:c>
      <x:c r="E121" s="11" t="n">
        <x:v>545.27</x:v>
      </x:c>
      <x:c r="F121" s="11" t="n">
        <x:v>1271.04</x:v>
      </x:c>
    </x:row>
    <x:row r="122">
      <x:c r="A122" s="11" t="n">
        <x:v>121</x:v>
      </x:c>
      <x:c r="B122" s="11" t="str">
        <x:v>2026-07-31</x:v>
      </x:c>
      <x:c r="C122" s="11" t="str">
        <x:v>L1</x:v>
      </x:c>
      <x:c r="D122" s="11" t="str">
        <x:v>Envasado A</x:v>
      </x:c>
      <x:c r="E122" s="11" t="n">
        <x:v>619.87</x:v>
      </x:c>
      <x:c r="F122" s="11" t="n">
        <x:v>1453.96</x:v>
      </x:c>
    </x:row>
    <x:row r="123">
      <x:c r="A123" s="11" t="n">
        <x:v>122</x:v>
      </x:c>
      <x:c r="B123" s="11" t="str">
        <x:v>2026-07-31</x:v>
      </x:c>
      <x:c r="C123" s="11" t="str">
        <x:v>L2</x:v>
      </x:c>
      <x:c r="D123" s="11" t="str">
        <x:v>Envasado B</x:v>
      </x:c>
      <x:c r="E123" s="11" t="n">
        <x:v>556.39</x:v>
      </x:c>
      <x:c r="F123" s="11" t="n">
        <x:v>1352.22</x:v>
      </x:c>
    </x:row>
    <x:row r="124">
      <x:c r="A124" s="11" t="n">
        <x:v>123</x:v>
      </x:c>
      <x:c r="B124" s="11" t="str">
        <x:v>2026-07-31</x:v>
      </x:c>
      <x:c r="C124" s="11" t="str">
        <x:v>L3</x:v>
      </x:c>
      <x:c r="D124" s="11" t="str">
        <x:v>Empaque</x:v>
      </x:c>
      <x:c r="E124" s="11" t="n">
        <x:v>697.91</x:v>
      </x:c>
      <x:c r="F124" s="11" t="n">
        <x:v>1578.15</x:v>
      </x:c>
    </x:row>
    <x:row r="125">
      <x:c r="A125" s="11" t="n">
        <x:v>124</x:v>
      </x:c>
      <x:c r="B125" s="11" t="str">
        <x:v>2026-07-31</x:v>
      </x:c>
      <x:c r="C125" s="11" t="str">
        <x:v>L4</x:v>
      </x:c>
      <x:c r="D125" s="11" t="str">
        <x:v>Etiquetado</x:v>
      </x:c>
      <x:c r="E125" s="11" t="n">
        <x:v>463.13</x:v>
      </x:c>
      <x:c r="F125" s="11" t="n">
        <x:v>1062.27</x:v>
      </x:c>
    </x:row>
    <x:row r="126">
      <x:c r="A126" s="11" t="n">
        <x:v>125</x:v>
      </x:c>
      <x:c r="B126" s="11" t="str">
        <x:v>2026-08-01</x:v>
      </x:c>
      <x:c r="C126" s="11" t="str">
        <x:v>L1</x:v>
      </x:c>
      <x:c r="D126" s="11" t="str">
        <x:v>Envasado A</x:v>
      </x:c>
      <x:c r="E126" s="11" t="n">
        <x:v>448.38</x:v>
      </x:c>
      <x:c r="F126" s="11" t="n">
        <x:v>1040.16</x:v>
      </x:c>
    </x:row>
    <x:row r="127">
      <x:c r="A127" s="11" t="n">
        <x:v>126</x:v>
      </x:c>
      <x:c r="B127" s="11" t="str">
        <x:v>2026-08-01</x:v>
      </x:c>
      <x:c r="C127" s="11" t="str">
        <x:v>L2</x:v>
      </x:c>
      <x:c r="D127" s="11" t="str">
        <x:v>Envasado B</x:v>
      </x:c>
      <x:c r="E127" s="11" t="n">
        <x:v>482.73</x:v>
      </x:c>
      <x:c r="F127" s="11" t="n">
        <x:v>1159.89</x:v>
      </x:c>
    </x:row>
    <x:row r="128">
      <x:c r="A128" s="11" t="n">
        <x:v>127</x:v>
      </x:c>
      <x:c r="B128" s="11" t="str">
        <x:v>2026-08-01</x:v>
      </x:c>
      <x:c r="C128" s="11" t="str">
        <x:v>L3</x:v>
      </x:c>
      <x:c r="D128" s="11" t="str">
        <x:v>Empaque</x:v>
      </x:c>
      <x:c r="E128" s="11" t="n">
        <x:v>559.96</x:v>
      </x:c>
      <x:c r="F128" s="11" t="n">
        <x:v>1164.74</x:v>
      </x:c>
    </x:row>
    <x:row r="129">
      <x:c r="A129" s="11" t="n">
        <x:v>128</x:v>
      </x:c>
      <x:c r="B129" s="11" t="str">
        <x:v>2026-08-01</x:v>
      </x:c>
      <x:c r="C129" s="11" t="str">
        <x:v>L4</x:v>
      </x:c>
      <x:c r="D129" s="11" t="str">
        <x:v>Etiquetado</x:v>
      </x:c>
      <x:c r="E129" s="11" t="n">
        <x:v>611.06</x:v>
      </x:c>
      <x:c r="F129" s="11" t="n">
        <x:v>1457.84</x:v>
      </x:c>
    </x:row>
    <x:row r="130">
      <x:c r="A130" s="11" t="n">
        <x:v>129</x:v>
      </x:c>
      <x:c r="B130" s="11" t="str">
        <x:v>2026-08-02</x:v>
      </x:c>
      <x:c r="C130" s="11" t="str">
        <x:v>L1</x:v>
      </x:c>
      <x:c r="D130" s="11" t="str">
        <x:v>Envasado A</x:v>
      </x:c>
      <x:c r="E130" s="11" t="n">
        <x:v>410.95</x:v>
      </x:c>
      <x:c r="F130" s="11" t="n">
        <x:v>911.93</x:v>
      </x:c>
    </x:row>
    <x:row r="131">
      <x:c r="A131" s="11" t="n">
        <x:v>130</x:v>
      </x:c>
      <x:c r="B131" s="11" t="str">
        <x:v>2026-08-02</x:v>
      </x:c>
      <x:c r="C131" s="11" t="str">
        <x:v>L2</x:v>
      </x:c>
      <x:c r="D131" s="11" t="str">
        <x:v>Envasado B</x:v>
      </x:c>
      <x:c r="E131" s="11" t="n">
        <x:v>601.98</x:v>
      </x:c>
      <x:c r="F131" s="11" t="n">
        <x:v>1325.34</x:v>
      </x:c>
    </x:row>
    <x:row r="132">
      <x:c r="A132" s="11" t="n">
        <x:v>131</x:v>
      </x:c>
      <x:c r="B132" s="11" t="str">
        <x:v>2026-08-02</x:v>
      </x:c>
      <x:c r="C132" s="11" t="str">
        <x:v>L3</x:v>
      </x:c>
      <x:c r="D132" s="11" t="str">
        <x:v>Empaque</x:v>
      </x:c>
      <x:c r="E132" s="11" t="n">
        <x:v>590.85</x:v>
      </x:c>
      <x:c r="F132" s="11" t="n">
        <x:v>1427.27</x:v>
      </x:c>
    </x:row>
    <x:row r="133">
      <x:c r="A133" s="11" t="n">
        <x:v>132</x:v>
      </x:c>
      <x:c r="B133" s="11" t="str">
        <x:v>2026-08-02</x:v>
      </x:c>
      <x:c r="C133" s="11" t="str">
        <x:v>L4</x:v>
      </x:c>
      <x:c r="D133" s="11" t="str">
        <x:v>Etiquetado</x:v>
      </x:c>
      <x:c r="E133" s="11" t="n">
        <x:v>649.78</x:v>
      </x:c>
      <x:c r="F133" s="11" t="n">
        <x:v>1396.97</x:v>
      </x:c>
    </x:row>
    <x:row r="134">
      <x:c r="A134" s="11" t="n">
        <x:v>133</x:v>
      </x:c>
      <x:c r="B134" s="11" t="str">
        <x:v>2026-08-03</x:v>
      </x:c>
      <x:c r="C134" s="11" t="str">
        <x:v>L1</x:v>
      </x:c>
      <x:c r="D134" s="11" t="str">
        <x:v>Envasado A</x:v>
      </x:c>
      <x:c r="E134" s="11" t="n">
        <x:v>479.4</x:v>
      </x:c>
      <x:c r="F134" s="11" t="n">
        <x:v>1005.37</x:v>
      </x:c>
    </x:row>
    <x:row r="135">
      <x:c r="A135" s="11" t="n">
        <x:v>134</x:v>
      </x:c>
      <x:c r="B135" s="11" t="str">
        <x:v>2026-08-03</x:v>
      </x:c>
      <x:c r="C135" s="11" t="str">
        <x:v>L2</x:v>
      </x:c>
      <x:c r="D135" s="11" t="str">
        <x:v>Envasado B</x:v>
      </x:c>
      <x:c r="E135" s="11" t="n">
        <x:v>584.73</x:v>
      </x:c>
      <x:c r="F135" s="11" t="n">
        <x:v>1268.67</x:v>
      </x:c>
    </x:row>
    <x:row r="136">
      <x:c r="A136" s="11" t="n">
        <x:v>135</x:v>
      </x:c>
      <x:c r="B136" s="11" t="str">
        <x:v>2026-08-03</x:v>
      </x:c>
      <x:c r="C136" s="11" t="str">
        <x:v>L3</x:v>
      </x:c>
      <x:c r="D136" s="11" t="str">
        <x:v>Empaque</x:v>
      </x:c>
      <x:c r="E136" s="11" t="n">
        <x:v>604.1</x:v>
      </x:c>
      <x:c r="F136" s="11" t="n">
        <x:v>1416.74</x:v>
      </x:c>
    </x:row>
    <x:row r="137">
      <x:c r="A137" s="11" t="n">
        <x:v>136</x:v>
      </x:c>
      <x:c r="B137" s="11" t="str">
        <x:v>2026-08-03</x:v>
      </x:c>
      <x:c r="C137" s="11" t="str">
        <x:v>L4</x:v>
      </x:c>
      <x:c r="D137" s="11" t="str">
        <x:v>Etiquetado</x:v>
      </x:c>
      <x:c r="E137" s="11" t="n">
        <x:v>676.65</x:v>
      </x:c>
      <x:c r="F137" s="11" t="n">
        <x:v>1541.1</x:v>
      </x:c>
    </x:row>
    <x:row r="138">
      <x:c r="A138" s="11" t="n">
        <x:v>137</x:v>
      </x:c>
      <x:c r="B138" s="11" t="str">
        <x:v>2026-08-04</x:v>
      </x:c>
      <x:c r="C138" s="11" t="str">
        <x:v>L1</x:v>
      </x:c>
      <x:c r="D138" s="11" t="str">
        <x:v>Envasado A</x:v>
      </x:c>
      <x:c r="E138" s="11" t="n">
        <x:v>634.72</x:v>
      </x:c>
      <x:c r="F138" s="11" t="n">
        <x:v>1538.08</x:v>
      </x:c>
    </x:row>
    <x:row r="139">
      <x:c r="A139" s="11" t="n">
        <x:v>138</x:v>
      </x:c>
      <x:c r="B139" s="11" t="str">
        <x:v>2026-08-04</x:v>
      </x:c>
      <x:c r="C139" s="11" t="str">
        <x:v>L2</x:v>
      </x:c>
      <x:c r="D139" s="11" t="str">
        <x:v>Envasado B</x:v>
      </x:c>
      <x:c r="E139" s="11" t="n">
        <x:v>690.97</x:v>
      </x:c>
      <x:c r="F139" s="11" t="n">
        <x:v>1594.2</x:v>
      </x:c>
    </x:row>
    <x:row r="140">
      <x:c r="A140" s="11" t="n">
        <x:v>139</x:v>
      </x:c>
      <x:c r="B140" s="11" t="str">
        <x:v>2026-08-04</x:v>
      </x:c>
      <x:c r="C140" s="11" t="str">
        <x:v>L3</x:v>
      </x:c>
      <x:c r="D140" s="11" t="str">
        <x:v>Empaque</x:v>
      </x:c>
      <x:c r="E140" s="11" t="n">
        <x:v>630.46</x:v>
      </x:c>
      <x:c r="F140" s="11" t="n">
        <x:v>1409.22</x:v>
      </x:c>
    </x:row>
    <x:row r="141">
      <x:c r="A141" s="11" t="n">
        <x:v>140</x:v>
      </x:c>
      <x:c r="B141" s="11" t="str">
        <x:v>2026-08-04</x:v>
      </x:c>
      <x:c r="C141" s="11" t="str">
        <x:v>L4</x:v>
      </x:c>
      <x:c r="D141" s="11" t="str">
        <x:v>Etiquetado</x:v>
      </x:c>
      <x:c r="E141" s="11" t="n">
        <x:v>599.71</x:v>
      </x:c>
      <x:c r="F141" s="11" t="n">
        <x:v>1377.59</x:v>
      </x:c>
    </x:row>
    <x:row r="142">
      <x:c r="A142" s="11" t="n">
        <x:v>141</x:v>
      </x:c>
      <x:c r="B142" s="11" t="str">
        <x:v>2026-08-05</x:v>
      </x:c>
      <x:c r="C142" s="11" t="str">
        <x:v>L1</x:v>
      </x:c>
      <x:c r="D142" s="11" t="str">
        <x:v>Envasado A</x:v>
      </x:c>
      <x:c r="E142" s="11" t="n">
        <x:v>540.51</x:v>
      </x:c>
      <x:c r="F142" s="11" t="n">
        <x:v>1241.13</x:v>
      </x:c>
    </x:row>
    <x:row r="143">
      <x:c r="A143" s="11" t="n">
        <x:v>142</x:v>
      </x:c>
      <x:c r="B143" s="11" t="str">
        <x:v>2026-08-05</x:v>
      </x:c>
      <x:c r="C143" s="11" t="str">
        <x:v>L2</x:v>
      </x:c>
      <x:c r="D143" s="11" t="str">
        <x:v>Envasado B</x:v>
      </x:c>
      <x:c r="E143" s="11" t="n">
        <x:v>625.87</x:v>
      </x:c>
      <x:c r="F143" s="11" t="n">
        <x:v>1365.29</x:v>
      </x:c>
    </x:row>
    <x:row r="144">
      <x:c r="A144" s="11" t="n">
        <x:v>143</x:v>
      </x:c>
      <x:c r="B144" s="11" t="str">
        <x:v>2026-08-05</x:v>
      </x:c>
      <x:c r="C144" s="11" t="str">
        <x:v>L3</x:v>
      </x:c>
      <x:c r="D144" s="11" t="str">
        <x:v>Empaque</x:v>
      </x:c>
      <x:c r="E144" s="11" t="n">
        <x:v>614.75</x:v>
      </x:c>
      <x:c r="F144" s="11" t="n">
        <x:v>1479.14</x:v>
      </x:c>
    </x:row>
    <x:row r="145">
      <x:c r="A145" s="11" t="n">
        <x:v>144</x:v>
      </x:c>
      <x:c r="B145" s="11" t="str">
        <x:v>2026-08-05</x:v>
      </x:c>
      <x:c r="C145" s="11" t="str">
        <x:v>L4</x:v>
      </x:c>
      <x:c r="D145" s="11" t="str">
        <x:v>Etiquetado</x:v>
      </x:c>
      <x:c r="E145" s="11" t="n">
        <x:v>626.86</x:v>
      </x:c>
      <x:c r="F145" s="11" t="n">
        <x:v>1331.74</x:v>
      </x:c>
    </x:row>
    <x:row r="146">
      <x:c r="A146" s="11" t="n">
        <x:v>145</x:v>
      </x:c>
      <x:c r="B146" s="11" t="str">
        <x:v>2026-08-06</x:v>
      </x:c>
      <x:c r="C146" s="11" t="str">
        <x:v>L1</x:v>
      </x:c>
      <x:c r="D146" s="11" t="str">
        <x:v>Envasado A</x:v>
      </x:c>
      <x:c r="E146" s="11" t="n">
        <x:v>596.01</x:v>
      </x:c>
      <x:c r="F146" s="11" t="n">
        <x:v>1339.13</x:v>
      </x:c>
    </x:row>
    <x:row r="147">
      <x:c r="A147" s="11" t="n">
        <x:v>146</x:v>
      </x:c>
      <x:c r="B147" s="11" t="str">
        <x:v>2026-08-06</x:v>
      </x:c>
      <x:c r="C147" s="11" t="str">
        <x:v>L2</x:v>
      </x:c>
      <x:c r="D147" s="11" t="str">
        <x:v>Envasado B</x:v>
      </x:c>
      <x:c r="E147" s="11" t="n">
        <x:v>651.12</x:v>
      </x:c>
      <x:c r="F147" s="11" t="n">
        <x:v>1356.87</x:v>
      </x:c>
    </x:row>
    <x:row r="148">
      <x:c r="A148" s="11" t="n">
        <x:v>147</x:v>
      </x:c>
      <x:c r="B148" s="11" t="str">
        <x:v>2026-08-06</x:v>
      </x:c>
      <x:c r="C148" s="11" t="str">
        <x:v>L3</x:v>
      </x:c>
      <x:c r="D148" s="11" t="str">
        <x:v>Empaque</x:v>
      </x:c>
      <x:c r="E148" s="11" t="n">
        <x:v>571.09</x:v>
      </x:c>
      <x:c r="F148" s="11" t="n">
        <x:v>1199.02</x:v>
      </x:c>
    </x:row>
    <x:row r="149">
      <x:c r="A149" s="11" t="n">
        <x:v>148</x:v>
      </x:c>
      <x:c r="B149" s="11" t="str">
        <x:v>2026-08-06</x:v>
      </x:c>
      <x:c r="C149" s="11" t="str">
        <x:v>L4</x:v>
      </x:c>
      <x:c r="D149" s="11" t="str">
        <x:v>Etiquetado</x:v>
      </x:c>
      <x:c r="E149" s="11" t="n">
        <x:v>615.59</x:v>
      </x:c>
      <x:c r="F149" s="11" t="n">
        <x:v>1381.98</x:v>
      </x:c>
    </x:row>
    <x:row r="150">
      <x:c r="A150" s="11" t="n">
        <x:v>149</x:v>
      </x:c>
      <x:c r="B150" s="11" t="str">
        <x:v>2026-08-07</x:v>
      </x:c>
      <x:c r="C150" s="11" t="str">
        <x:v>L1</x:v>
      </x:c>
      <x:c r="D150" s="11" t="str">
        <x:v>Envasado A</x:v>
      </x:c>
      <x:c r="E150" s="11" t="n">
        <x:v>689.45</x:v>
      </x:c>
      <x:c r="F150" s="11" t="n">
        <x:v>1475.73</x:v>
      </x:c>
    </x:row>
    <x:row r="151">
      <x:c r="A151" s="11" t="n">
        <x:v>150</x:v>
      </x:c>
      <x:c r="B151" s="11" t="str">
        <x:v>2026-08-07</x:v>
      </x:c>
      <x:c r="C151" s="11" t="str">
        <x:v>L2</x:v>
      </x:c>
      <x:c r="D151" s="11" t="str">
        <x:v>Envasado B</x:v>
      </x:c>
      <x:c r="E151" s="11" t="n">
        <x:v>723.07</x:v>
      </x:c>
      <x:c r="F151" s="11" t="n">
        <x:v>1596.64</x:v>
      </x:c>
    </x:row>
    <x:row r="152">
      <x:c r="A152" s="11" t="n">
        <x:v>151</x:v>
      </x:c>
      <x:c r="B152" s="11" t="str">
        <x:v>2026-08-07</x:v>
      </x:c>
      <x:c r="C152" s="11" t="str">
        <x:v>L3</x:v>
      </x:c>
      <x:c r="D152" s="11" t="str">
        <x:v>Empaque</x:v>
      </x:c>
      <x:c r="E152" s="11" t="n">
        <x:v>592.61</x:v>
      </x:c>
      <x:c r="F152" s="11" t="n">
        <x:v>1258.04</x:v>
      </x:c>
    </x:row>
    <x:row r="153">
      <x:c r="A153" s="11" t="n">
        <x:v>152</x:v>
      </x:c>
      <x:c r="B153" s="11" t="str">
        <x:v>2026-08-07</x:v>
      </x:c>
      <x:c r="C153" s="11" t="str">
        <x:v>L4</x:v>
      </x:c>
      <x:c r="D153" s="11" t="str">
        <x:v>Etiquetado</x:v>
      </x:c>
      <x:c r="E153" s="11" t="n">
        <x:v>705.62</x:v>
      </x:c>
      <x:c r="F153" s="11" t="n">
        <x:v>1675.58</x:v>
      </x:c>
    </x:row>
    <x:row r="154">
      <x:c r="A154" s="11" t="n">
        <x:v>153</x:v>
      </x:c>
      <x:c r="B154" s="11" t="str">
        <x:v>2026-08-08</x:v>
      </x:c>
      <x:c r="C154" s="11" t="str">
        <x:v>L1</x:v>
      </x:c>
      <x:c r="D154" s="11" t="str">
        <x:v>Envasado A</x:v>
      </x:c>
      <x:c r="E154" s="11" t="n">
        <x:v>690.85</x:v>
      </x:c>
      <x:c r="F154" s="11" t="n">
        <x:v>1648.19</x:v>
      </x:c>
    </x:row>
    <x:row r="155">
      <x:c r="A155" s="11" t="n">
        <x:v>154</x:v>
      </x:c>
      <x:c r="B155" s="11" t="str">
        <x:v>2026-08-08</x:v>
      </x:c>
      <x:c r="C155" s="11" t="str">
        <x:v>L2</x:v>
      </x:c>
      <x:c r="D155" s="11" t="str">
        <x:v>Envasado B</x:v>
      </x:c>
      <x:c r="E155" s="11" t="n">
        <x:v>677.64</x:v>
      </x:c>
      <x:c r="F155" s="11" t="n">
        <x:v>1433.03</x:v>
      </x:c>
    </x:row>
    <x:row r="156">
      <x:c r="A156" s="11" t="n">
        <x:v>155</x:v>
      </x:c>
      <x:c r="B156" s="11" t="str">
        <x:v>2026-08-08</x:v>
      </x:c>
      <x:c r="C156" s="11" t="str">
        <x:v>L3</x:v>
      </x:c>
      <x:c r="D156" s="11" t="str">
        <x:v>Empaque</x:v>
      </x:c>
      <x:c r="E156" s="11" t="n">
        <x:v>564.99</x:v>
      </x:c>
      <x:c r="F156" s="11" t="n">
        <x:v>1239.42</x:v>
      </x:c>
    </x:row>
    <x:row r="157">
      <x:c r="A157" s="11" t="n">
        <x:v>156</x:v>
      </x:c>
      <x:c r="B157" s="11" t="str">
        <x:v>2026-08-08</x:v>
      </x:c>
      <x:c r="C157" s="11" t="str">
        <x:v>L4</x:v>
      </x:c>
      <x:c r="D157" s="11" t="str">
        <x:v>Etiquetado</x:v>
      </x:c>
      <x:c r="E157" s="11" t="n">
        <x:v>692.09</x:v>
      </x:c>
      <x:c r="F157" s="11" t="n">
        <x:v>1659.77</x:v>
      </x:c>
    </x:row>
    <x:row r="158">
      <x:c r="A158" s="11" t="n">
        <x:v>157</x:v>
      </x:c>
      <x:c r="B158" s="11" t="str">
        <x:v>2026-08-09</x:v>
      </x:c>
      <x:c r="C158" s="11" t="str">
        <x:v>L1</x:v>
      </x:c>
      <x:c r="D158" s="11" t="str">
        <x:v>Envasado A</x:v>
      </x:c>
      <x:c r="E158" s="11" t="n">
        <x:v>637.54</x:v>
      </x:c>
      <x:c r="F158" s="11" t="n">
        <x:v>1317.22</x:v>
      </x:c>
    </x:row>
    <x:row r="159">
      <x:c r="A159" s="11" t="n">
        <x:v>158</x:v>
      </x:c>
      <x:c r="B159" s="11" t="str">
        <x:v>2026-08-09</x:v>
      </x:c>
      <x:c r="C159" s="11" t="str">
        <x:v>L2</x:v>
      </x:c>
      <x:c r="D159" s="11" t="str">
        <x:v>Envasado B</x:v>
      </x:c>
      <x:c r="E159" s="11" t="n">
        <x:v>672.25</x:v>
      </x:c>
      <x:c r="F159" s="11" t="n">
        <x:v>1484.21</x:v>
      </x:c>
    </x:row>
    <x:row r="160">
      <x:c r="A160" s="11" t="n">
        <x:v>159</x:v>
      </x:c>
      <x:c r="B160" s="11" t="str">
        <x:v>2026-08-09</x:v>
      </x:c>
      <x:c r="C160" s="11" t="str">
        <x:v>L3</x:v>
      </x:c>
      <x:c r="D160" s="11" t="str">
        <x:v>Empaque</x:v>
      </x:c>
      <x:c r="E160" s="11" t="n">
        <x:v>613.02</x:v>
      </x:c>
      <x:c r="F160" s="11" t="n">
        <x:v>1296</x:v>
      </x:c>
    </x:row>
    <x:row r="161">
      <x:c r="A161" s="11" t="n">
        <x:v>160</x:v>
      </x:c>
      <x:c r="B161" s="11" t="str">
        <x:v>2026-08-09</x:v>
      </x:c>
      <x:c r="C161" s="11" t="str">
        <x:v>L4</x:v>
      </x:c>
      <x:c r="D161" s="11" t="str">
        <x:v>Etiquetado</x:v>
      </x:c>
      <x:c r="E161" s="11" t="n">
        <x:v>437.33</x:v>
      </x:c>
      <x:c r="F161" s="11" t="n">
        <x:v>931.34</x:v>
      </x:c>
    </x:row>
    <x:row r="162">
      <x:c r="A162" s="11" t="n">
        <x:v>161</x:v>
      </x:c>
      <x:c r="B162" s="11" t="str">
        <x:v>2026-08-10</x:v>
      </x:c>
      <x:c r="C162" s="11" t="str">
        <x:v>L1</x:v>
      </x:c>
      <x:c r="D162" s="11" t="str">
        <x:v>Envasado A</x:v>
      </x:c>
      <x:c r="E162" s="11" t="n">
        <x:v>495.31</x:v>
      </x:c>
      <x:c r="F162" s="11" t="n">
        <x:v>1068.05</x:v>
      </x:c>
    </x:row>
    <x:row r="163">
      <x:c r="A163" s="11" t="n">
        <x:v>162</x:v>
      </x:c>
      <x:c r="B163" s="11" t="str">
        <x:v>2026-08-10</x:v>
      </x:c>
      <x:c r="C163" s="11" t="str">
        <x:v>L2</x:v>
      </x:c>
      <x:c r="D163" s="11" t="str">
        <x:v>Envasado B</x:v>
      </x:c>
      <x:c r="E163" s="11" t="n">
        <x:v>636.31</x:v>
      </x:c>
      <x:c r="F163" s="11" t="n">
        <x:v>1411.61</x:v>
      </x:c>
    </x:row>
    <x:row r="164">
      <x:c r="A164" s="11" t="n">
        <x:v>163</x:v>
      </x:c>
      <x:c r="B164" s="11" t="str">
        <x:v>2026-08-10</x:v>
      </x:c>
      <x:c r="C164" s="11" t="str">
        <x:v>L3</x:v>
      </x:c>
      <x:c r="D164" s="11" t="str">
        <x:v>Empaque</x:v>
      </x:c>
      <x:c r="E164" s="11" t="n">
        <x:v>475.04</x:v>
      </x:c>
      <x:c r="F164" s="11" t="n">
        <x:v>1109.56</x:v>
      </x:c>
    </x:row>
    <x:row r="165">
      <x:c r="A165" s="11" t="n">
        <x:v>164</x:v>
      </x:c>
      <x:c r="B165" s="11" t="str">
        <x:v>2026-08-10</x:v>
      </x:c>
      <x:c r="C165" s="11" t="str">
        <x:v>L4</x:v>
      </x:c>
      <x:c r="D165" s="11" t="str">
        <x:v>Etiquetado</x:v>
      </x:c>
      <x:c r="E165" s="11" t="n">
        <x:v>572.78</x:v>
      </x:c>
      <x:c r="F165" s="11" t="n">
        <x:v>1248.63</x:v>
      </x:c>
    </x:row>
    <x:row r="166">
      <x:c r="A166" s="11" t="n">
        <x:v>165</x:v>
      </x:c>
      <x:c r="B166" s="11" t="str">
        <x:v>2026-08-11</x:v>
      </x:c>
      <x:c r="C166" s="11" t="str">
        <x:v>L1</x:v>
      </x:c>
      <x:c r="D166" s="11" t="str">
        <x:v>Envasado A</x:v>
      </x:c>
      <x:c r="E166" s="11" t="n">
        <x:v>635.86</x:v>
      </x:c>
      <x:c r="F166" s="11" t="n">
        <x:v>1431.16</x:v>
      </x:c>
    </x:row>
    <x:row r="167">
      <x:c r="A167" s="11" t="n">
        <x:v>166</x:v>
      </x:c>
      <x:c r="B167" s="11" t="str">
        <x:v>2026-08-11</x:v>
      </x:c>
      <x:c r="C167" s="11" t="str">
        <x:v>L2</x:v>
      </x:c>
      <x:c r="D167" s="11" t="str">
        <x:v>Envasado B</x:v>
      </x:c>
      <x:c r="E167" s="11" t="n">
        <x:v>445.07</x:v>
      </x:c>
      <x:c r="F167" s="11" t="n">
        <x:v>1076.81</x:v>
      </x:c>
    </x:row>
    <x:row r="168">
      <x:c r="A168" s="11" t="n">
        <x:v>167</x:v>
      </x:c>
      <x:c r="B168" s="11" t="str">
        <x:v>2026-08-11</x:v>
      </x:c>
      <x:c r="C168" s="11" t="str">
        <x:v>L3</x:v>
      </x:c>
      <x:c r="D168" s="11" t="str">
        <x:v>Empaque</x:v>
      </x:c>
      <x:c r="E168" s="11" t="n">
        <x:v>666.56</x:v>
      </x:c>
      <x:c r="F168" s="11" t="n">
        <x:v>1395.71</x:v>
      </x:c>
    </x:row>
    <x:row r="169">
      <x:c r="A169" s="11" t="n">
        <x:v>168</x:v>
      </x:c>
      <x:c r="B169" s="11" t="str">
        <x:v>2026-08-11</x:v>
      </x:c>
      <x:c r="C169" s="11" t="str">
        <x:v>L4</x:v>
      </x:c>
      <x:c r="D169" s="11" t="str">
        <x:v>Etiquetado</x:v>
      </x:c>
      <x:c r="E169" s="11" t="n">
        <x:v>549.66</x:v>
      </x:c>
      <x:c r="F169" s="11" t="n">
        <x:v>1150.52</x:v>
      </x:c>
    </x:row>
    <x:row r="170">
      <x:c r="A170" s="11" t="n">
        <x:v>169</x:v>
      </x:c>
      <x:c r="B170" s="11" t="str">
        <x:v>2026-08-12</x:v>
      </x:c>
      <x:c r="C170" s="11" t="str">
        <x:v>L1</x:v>
      </x:c>
      <x:c r="D170" s="11" t="str">
        <x:v>Envasado A</x:v>
      </x:c>
      <x:c r="E170" s="11" t="n">
        <x:v>668.99</x:v>
      </x:c>
      <x:c r="F170" s="11" t="n">
        <x:v>1505.23</x:v>
      </x:c>
    </x:row>
    <x:row r="171">
      <x:c r="A171" s="11" t="n">
        <x:v>170</x:v>
      </x:c>
      <x:c r="B171" s="11" t="str">
        <x:v>2026-08-12</x:v>
      </x:c>
      <x:c r="C171" s="11" t="str">
        <x:v>L2</x:v>
      </x:c>
      <x:c r="D171" s="11" t="str">
        <x:v>Envasado B</x:v>
      </x:c>
      <x:c r="E171" s="11" t="n">
        <x:v>626.55</x:v>
      </x:c>
      <x:c r="F171" s="11" t="n">
        <x:v>1476.75</x:v>
      </x:c>
    </x:row>
    <x:row r="172">
      <x:c r="A172" s="11" t="n">
        <x:v>171</x:v>
      </x:c>
      <x:c r="B172" s="11" t="str">
        <x:v>2026-08-12</x:v>
      </x:c>
      <x:c r="C172" s="11" t="str">
        <x:v>L3</x:v>
      </x:c>
      <x:c r="D172" s="11" t="str">
        <x:v>Empaque</x:v>
      </x:c>
      <x:c r="E172" s="11" t="n">
        <x:v>630.84</x:v>
      </x:c>
      <x:c r="F172" s="11" t="n">
        <x:v>1379.56</x:v>
      </x:c>
    </x:row>
    <x:row r="173">
      <x:c r="A173" s="11" t="n">
        <x:v>172</x:v>
      </x:c>
      <x:c r="B173" s="11" t="str">
        <x:v>2026-08-12</x:v>
      </x:c>
      <x:c r="C173" s="11" t="str">
        <x:v>L4</x:v>
      </x:c>
      <x:c r="D173" s="11" t="str">
        <x:v>Etiquetado</x:v>
      </x:c>
      <x:c r="E173" s="11" t="n">
        <x:v>747.56</x:v>
      </x:c>
      <x:c r="F173" s="11" t="n">
        <x:v>1824.48</x:v>
      </x:c>
    </x:row>
    <x:row r="174">
      <x:c r="A174" s="11" t="n">
        <x:v>173</x:v>
      </x:c>
      <x:c r="B174" s="11" t="str">
        <x:v>2026-08-13</x:v>
      </x:c>
      <x:c r="C174" s="11" t="str">
        <x:v>L1</x:v>
      </x:c>
      <x:c r="D174" s="11" t="str">
        <x:v>Envasado A</x:v>
      </x:c>
      <x:c r="E174" s="11" t="n">
        <x:v>612.84</x:v>
      </x:c>
      <x:c r="F174" s="11" t="n">
        <x:v>1327.28</x:v>
      </x:c>
    </x:row>
    <x:row r="175">
      <x:c r="A175" s="11" t="n">
        <x:v>174</x:v>
      </x:c>
      <x:c r="B175" s="11" t="str">
        <x:v>2026-08-13</x:v>
      </x:c>
      <x:c r="C175" s="11" t="str">
        <x:v>L2</x:v>
      </x:c>
      <x:c r="D175" s="11" t="str">
        <x:v>Envasado B</x:v>
      </x:c>
      <x:c r="E175" s="11" t="n">
        <x:v>529.55</x:v>
      </x:c>
      <x:c r="F175" s="11" t="n">
        <x:v>1188.51</x:v>
      </x:c>
    </x:row>
    <x:row r="176">
      <x:c r="A176" s="11" t="n">
        <x:v>175</x:v>
      </x:c>
      <x:c r="B176" s="11" t="str">
        <x:v>2026-08-13</x:v>
      </x:c>
      <x:c r="C176" s="11" t="str">
        <x:v>L3</x:v>
      </x:c>
      <x:c r="D176" s="11" t="str">
        <x:v>Empaque</x:v>
      </x:c>
      <x:c r="E176" s="11" t="n">
        <x:v>624.39</x:v>
      </x:c>
      <x:c r="F176" s="11" t="n">
        <x:v>1318.09</x:v>
      </x:c>
    </x:row>
    <x:row r="177">
      <x:c r="A177" s="11" t="n">
        <x:v>176</x:v>
      </x:c>
      <x:c r="B177" s="11" t="str">
        <x:v>2026-08-13</x:v>
      </x:c>
      <x:c r="C177" s="11" t="str">
        <x:v>L4</x:v>
      </x:c>
      <x:c r="D177" s="11" t="str">
        <x:v>Etiquetado</x:v>
      </x:c>
      <x:c r="E177" s="11" t="n">
        <x:v>556.01</x:v>
      </x:c>
      <x:c r="F177" s="11" t="n">
        <x:v>1253.52</x:v>
      </x:c>
    </x:row>
    <x:row r="178">
      <x:c r="A178" s="11" t="n">
        <x:v>177</x:v>
      </x:c>
      <x:c r="B178" s="11" t="str">
        <x:v>2026-08-14</x:v>
      </x:c>
      <x:c r="C178" s="11" t="str">
        <x:v>L1</x:v>
      </x:c>
      <x:c r="D178" s="11" t="str">
        <x:v>Envasado A</x:v>
      </x:c>
      <x:c r="E178" s="11" t="n">
        <x:v>620.49</x:v>
      </x:c>
      <x:c r="F178" s="11" t="n">
        <x:v>1486.49</x:v>
      </x:c>
    </x:row>
    <x:row r="179">
      <x:c r="A179" s="11" t="n">
        <x:v>178</x:v>
      </x:c>
      <x:c r="B179" s="11" t="str">
        <x:v>2026-08-14</x:v>
      </x:c>
      <x:c r="C179" s="11" t="str">
        <x:v>L2</x:v>
      </x:c>
      <x:c r="D179" s="11" t="str">
        <x:v>Envasado B</x:v>
      </x:c>
      <x:c r="E179" s="11" t="n">
        <x:v>765.03</x:v>
      </x:c>
      <x:c r="F179" s="11" t="n">
        <x:v>1872.57</x:v>
      </x:c>
    </x:row>
    <x:row r="180">
      <x:c r="A180" s="11" t="n">
        <x:v>179</x:v>
      </x:c>
      <x:c r="B180" s="11" t="str">
        <x:v>2026-08-14</x:v>
      </x:c>
      <x:c r="C180" s="11" t="str">
        <x:v>L3</x:v>
      </x:c>
      <x:c r="D180" s="11" t="str">
        <x:v>Empaque</x:v>
      </x:c>
      <x:c r="E180" s="11" t="n">
        <x:v>622.62</x:v>
      </x:c>
      <x:c r="F180" s="11" t="n">
        <x:v>1325.79</x:v>
      </x:c>
    </x:row>
    <x:row r="181">
      <x:c r="A181" s="11" t="n">
        <x:v>180</x:v>
      </x:c>
      <x:c r="B181" s="11" t="str">
        <x:v>2026-08-14</x:v>
      </x:c>
      <x:c r="C181" s="11" t="str">
        <x:v>L4</x:v>
      </x:c>
      <x:c r="D181" s="11" t="str">
        <x:v>Etiquetado</x:v>
      </x:c>
      <x:c r="E181" s="11" t="n">
        <x:v>777.55</x:v>
      </x:c>
      <x:c r="F181" s="11" t="n">
        <x:v>1813.7</x:v>
      </x:c>
    </x:row>
    <x:row r="182">
      <x:c r="A182" s="11" t="n">
        <x:v>181</x:v>
      </x:c>
      <x:c r="B182" s="11" t="str">
        <x:v>2026-08-15</x:v>
      </x:c>
      <x:c r="C182" s="11" t="str">
        <x:v>L1</x:v>
      </x:c>
      <x:c r="D182" s="11" t="str">
        <x:v>Envasado A</x:v>
      </x:c>
      <x:c r="E182" s="11" t="n">
        <x:v>668.6</x:v>
      </x:c>
      <x:c r="F182" s="11" t="n">
        <x:v>1504.97</x:v>
      </x:c>
    </x:row>
    <x:row r="183">
      <x:c r="A183" s="11" t="n">
        <x:v>182</x:v>
      </x:c>
      <x:c r="B183" s="11" t="str">
        <x:v>2026-08-15</x:v>
      </x:c>
      <x:c r="C183" s="11" t="str">
        <x:v>L2</x:v>
      </x:c>
      <x:c r="D183" s="11" t="str">
        <x:v>Envasado B</x:v>
      </x:c>
      <x:c r="E183" s="11" t="n">
        <x:v>497.15</x:v>
      </x:c>
      <x:c r="F183" s="11" t="n">
        <x:v>1055.19</x:v>
      </x:c>
    </x:row>
    <x:row r="184">
      <x:c r="A184" s="11" t="n">
        <x:v>183</x:v>
      </x:c>
      <x:c r="B184" s="11" t="str">
        <x:v>2026-08-15</x:v>
      </x:c>
      <x:c r="C184" s="11" t="str">
        <x:v>L3</x:v>
      </x:c>
      <x:c r="D184" s="11" t="str">
        <x:v>Empaque</x:v>
      </x:c>
      <x:c r="E184" s="11" t="n">
        <x:v>733.57</x:v>
      </x:c>
      <x:c r="F184" s="11" t="n">
        <x:v>1689.99</x:v>
      </x:c>
    </x:row>
    <x:row r="185">
      <x:c r="A185" s="11" t="n">
        <x:v>184</x:v>
      </x:c>
      <x:c r="B185" s="11" t="str">
        <x:v>2026-08-15</x:v>
      </x:c>
      <x:c r="C185" s="11" t="str">
        <x:v>L4</x:v>
      </x:c>
      <x:c r="D185" s="11" t="str">
        <x:v>Etiquetado</x:v>
      </x:c>
      <x:c r="E185" s="11" t="n">
        <x:v>614.68</x:v>
      </x:c>
      <x:c r="F185" s="11" t="n">
        <x:v>1316.49</x:v>
      </x:c>
    </x:row>
    <x:row r="186">
      <x:c r="A186" s="11" t="n">
        <x:v>185</x:v>
      </x:c>
      <x:c r="B186" s="11" t="str">
        <x:v>2026-08-16</x:v>
      </x:c>
      <x:c r="C186" s="11" t="str">
        <x:v>L1</x:v>
      </x:c>
      <x:c r="D186" s="11" t="str">
        <x:v>Envasado A</x:v>
      </x:c>
      <x:c r="E186" s="11" t="n">
        <x:v>636.02</x:v>
      </x:c>
      <x:c r="F186" s="11" t="n">
        <x:v>1555.81</x:v>
      </x:c>
    </x:row>
    <x:row r="187">
      <x:c r="A187" s="11" t="n">
        <x:v>186</x:v>
      </x:c>
      <x:c r="B187" s="11" t="str">
        <x:v>2026-08-16</x:v>
      </x:c>
      <x:c r="C187" s="11" t="str">
        <x:v>L2</x:v>
      </x:c>
      <x:c r="D187" s="11" t="str">
        <x:v>Envasado B</x:v>
      </x:c>
      <x:c r="E187" s="11" t="n">
        <x:v>637.57</x:v>
      </x:c>
      <x:c r="F187" s="11" t="n">
        <x:v>1543.96</x:v>
      </x:c>
    </x:row>
    <x:row r="188">
      <x:c r="A188" s="11" t="n">
        <x:v>187</x:v>
      </x:c>
      <x:c r="B188" s="11" t="str">
        <x:v>2026-08-16</x:v>
      </x:c>
      <x:c r="C188" s="11" t="str">
        <x:v>L3</x:v>
      </x:c>
      <x:c r="D188" s="11" t="str">
        <x:v>Empaque</x:v>
      </x:c>
      <x:c r="E188" s="11" t="n">
        <x:v>514.72</x:v>
      </x:c>
      <x:c r="F188" s="11" t="n">
        <x:v>1073.9</x:v>
      </x:c>
    </x:row>
    <x:row r="189">
      <x:c r="A189" s="11" t="n">
        <x:v>188</x:v>
      </x:c>
      <x:c r="B189" s="11" t="str">
        <x:v>2026-08-16</x:v>
      </x:c>
      <x:c r="C189" s="11" t="str">
        <x:v>L4</x:v>
      </x:c>
      <x:c r="D189" s="11" t="str">
        <x:v>Etiquetado</x:v>
      </x:c>
      <x:c r="E189" s="11" t="n">
        <x:v>672.56</x:v>
      </x:c>
      <x:c r="F189" s="11" t="n">
        <x:v>1392.46</x:v>
      </x:c>
    </x:row>
    <x:row r="190">
      <x:c r="A190" s="11" t="n">
        <x:v>189</x:v>
      </x:c>
      <x:c r="B190" s="11" t="str">
        <x:v>2026-08-17</x:v>
      </x:c>
      <x:c r="C190" s="11" t="str">
        <x:v>L1</x:v>
      </x:c>
      <x:c r="D190" s="11" t="str">
        <x:v>Envasado A</x:v>
      </x:c>
      <x:c r="E190" s="11" t="n">
        <x:v>559.27</x:v>
      </x:c>
      <x:c r="F190" s="11" t="n">
        <x:v>1288.18</x:v>
      </x:c>
    </x:row>
    <x:row r="191">
      <x:c r="A191" s="11" t="n">
        <x:v>190</x:v>
      </x:c>
      <x:c r="B191" s="11" t="str">
        <x:v>2026-08-17</x:v>
      </x:c>
      <x:c r="C191" s="11" t="str">
        <x:v>L2</x:v>
      </x:c>
      <x:c r="D191" s="11" t="str">
        <x:v>Envasado B</x:v>
      </x:c>
      <x:c r="E191" s="11" t="n">
        <x:v>660</x:v>
      </x:c>
      <x:c r="F191" s="11" t="n">
        <x:v>1414.1</x:v>
      </x:c>
    </x:row>
    <x:row r="192">
      <x:c r="A192" s="11" t="n">
        <x:v>191</x:v>
      </x:c>
      <x:c r="B192" s="11" t="str">
        <x:v>2026-08-17</x:v>
      </x:c>
      <x:c r="C192" s="11" t="str">
        <x:v>L3</x:v>
      </x:c>
      <x:c r="D192" s="11" t="str">
        <x:v>Empaque</x:v>
      </x:c>
      <x:c r="E192" s="11" t="n">
        <x:v>569.96</x:v>
      </x:c>
      <x:c r="F192" s="11" t="n">
        <x:v>1284.66</x:v>
      </x:c>
    </x:row>
    <x:row r="193">
      <x:c r="A193" s="11" t="n">
        <x:v>192</x:v>
      </x:c>
      <x:c r="B193" s="11" t="str">
        <x:v>2026-08-17</x:v>
      </x:c>
      <x:c r="C193" s="11" t="str">
        <x:v>L4</x:v>
      </x:c>
      <x:c r="D193" s="11" t="str">
        <x:v>Etiquetado</x:v>
      </x:c>
      <x:c r="E193" s="11" t="n">
        <x:v>703.2</x:v>
      </x:c>
      <x:c r="F193" s="11" t="n">
        <x:v>1622.67</x:v>
      </x:c>
    </x:row>
    <x:row r="194">
      <x:c r="A194" s="11" t="n">
        <x:v>193</x:v>
      </x:c>
      <x:c r="B194" s="11" t="str">
        <x:v>2026-08-18</x:v>
      </x:c>
      <x:c r="C194" s="11" t="str">
        <x:v>L1</x:v>
      </x:c>
      <x:c r="D194" s="11" t="str">
        <x:v>Envasado A</x:v>
      </x:c>
      <x:c r="E194" s="11" t="n">
        <x:v>597.48</x:v>
      </x:c>
      <x:c r="F194" s="11" t="n">
        <x:v>1291.88</x:v>
      </x:c>
    </x:row>
    <x:row r="195">
      <x:c r="A195" s="11" t="n">
        <x:v>194</x:v>
      </x:c>
      <x:c r="B195" s="11" t="str">
        <x:v>2026-08-18</x:v>
      </x:c>
      <x:c r="C195" s="11" t="str">
        <x:v>L2</x:v>
      </x:c>
      <x:c r="D195" s="11" t="str">
        <x:v>Envasado B</x:v>
      </x:c>
      <x:c r="E195" s="11" t="n">
        <x:v>683.45</x:v>
      </x:c>
      <x:c r="F195" s="11" t="n">
        <x:v>1497.04</x:v>
      </x:c>
    </x:row>
    <x:row r="196">
      <x:c r="A196" s="11" t="n">
        <x:v>195</x:v>
      </x:c>
      <x:c r="B196" s="11" t="str">
        <x:v>2026-08-18</x:v>
      </x:c>
      <x:c r="C196" s="11" t="str">
        <x:v>L3</x:v>
      </x:c>
      <x:c r="D196" s="11" t="str">
        <x:v>Empaque</x:v>
      </x:c>
      <x:c r="E196" s="11" t="n">
        <x:v>555.04</x:v>
      </x:c>
      <x:c r="F196" s="11" t="n">
        <x:v>1148.39</x:v>
      </x:c>
    </x:row>
    <x:row r="197">
      <x:c r="A197" s="11" t="n">
        <x:v>196</x:v>
      </x:c>
      <x:c r="B197" s="11" t="str">
        <x:v>2026-08-18</x:v>
      </x:c>
      <x:c r="C197" s="11" t="str">
        <x:v>L4</x:v>
      </x:c>
      <x:c r="D197" s="11" t="str">
        <x:v>Etiquetado</x:v>
      </x:c>
      <x:c r="E197" s="11" t="n">
        <x:v>656.74</x:v>
      </x:c>
      <x:c r="F197" s="11" t="n">
        <x:v>1357.06</x:v>
      </x:c>
    </x:row>
    <x:row r="198">
      <x:c r="A198" s="11" t="n">
        <x:v>197</x:v>
      </x:c>
      <x:c r="B198" s="11" t="str">
        <x:v>2026-08-19</x:v>
      </x:c>
      <x:c r="C198" s="11" t="str">
        <x:v>L1</x:v>
      </x:c>
      <x:c r="D198" s="11" t="str">
        <x:v>Envasado A</x:v>
      </x:c>
      <x:c r="E198" s="11" t="n">
        <x:v>753</x:v>
      </x:c>
      <x:c r="F198" s="11" t="n">
        <x:v>1607.5</x:v>
      </x:c>
    </x:row>
    <x:row r="199">
      <x:c r="A199" s="11" t="n">
        <x:v>198</x:v>
      </x:c>
      <x:c r="B199" s="11" t="str">
        <x:v>2026-08-19</x:v>
      </x:c>
      <x:c r="C199" s="11" t="str">
        <x:v>L2</x:v>
      </x:c>
      <x:c r="D199" s="11" t="str">
        <x:v>Envasado B</x:v>
      </x:c>
      <x:c r="E199" s="11" t="n">
        <x:v>665.19</x:v>
      </x:c>
      <x:c r="F199" s="11" t="n">
        <x:v>1489.24</x:v>
      </x:c>
    </x:row>
    <x:row r="200">
      <x:c r="A200" s="11" t="n">
        <x:v>199</x:v>
      </x:c>
      <x:c r="B200" s="11" t="str">
        <x:v>2026-08-19</x:v>
      </x:c>
      <x:c r="C200" s="11" t="str">
        <x:v>L3</x:v>
      </x:c>
      <x:c r="D200" s="11" t="str">
        <x:v>Empaque</x:v>
      </x:c>
      <x:c r="E200" s="11" t="n">
        <x:v>652.87</x:v>
      </x:c>
      <x:c r="F200" s="11" t="n">
        <x:v>1386.65</x:v>
      </x:c>
    </x:row>
    <x:row r="201">
      <x:c r="A201" s="11" t="n">
        <x:v>200</x:v>
      </x:c>
      <x:c r="B201" s="11" t="str">
        <x:v>2026-08-19</x:v>
      </x:c>
      <x:c r="C201" s="11" t="str">
        <x:v>L4</x:v>
      </x:c>
      <x:c r="D201" s="11" t="str">
        <x:v>Etiquetado</x:v>
      </x:c>
      <x:c r="E201" s="11" t="n">
        <x:v>598.69</x:v>
      </x:c>
      <x:c r="F201" s="11" t="n">
        <x:v>1454.42</x:v>
      </x:c>
    </x:row>
    <x:row r="202">
      <x:c r="A202" s="11" t="n">
        <x:v>201</x:v>
      </x:c>
      <x:c r="B202" s="11" t="str">
        <x:v>2026-08-20</x:v>
      </x:c>
      <x:c r="C202" s="11" t="str">
        <x:v>L1</x:v>
      </x:c>
      <x:c r="D202" s="11" t="str">
        <x:v>Envasado A</x:v>
      </x:c>
      <x:c r="E202" s="11" t="n">
        <x:v>572.6</x:v>
      </x:c>
      <x:c r="F202" s="11" t="n">
        <x:v>1196.02</x:v>
      </x:c>
    </x:row>
    <x:row r="203">
      <x:c r="A203" s="11" t="n">
        <x:v>202</x:v>
      </x:c>
      <x:c r="B203" s="11" t="str">
        <x:v>2026-08-20</x:v>
      </x:c>
      <x:c r="C203" s="11" t="str">
        <x:v>L2</x:v>
      </x:c>
      <x:c r="D203" s="11" t="str">
        <x:v>Envasado B</x:v>
      </x:c>
      <x:c r="E203" s="11" t="n">
        <x:v>674.75</x:v>
      </x:c>
      <x:c r="F203" s="11" t="n">
        <x:v>1386.92</x:v>
      </x:c>
    </x:row>
    <x:row r="204">
      <x:c r="A204" s="11" t="n">
        <x:v>203</x:v>
      </x:c>
      <x:c r="B204" s="11" t="str">
        <x:v>2026-08-20</x:v>
      </x:c>
      <x:c r="C204" s="11" t="str">
        <x:v>L3</x:v>
      </x:c>
      <x:c r="D204" s="11" t="str">
        <x:v>Empaque</x:v>
      </x:c>
      <x:c r="E204" s="11" t="n">
        <x:v>459.71</x:v>
      </x:c>
      <x:c r="F204" s="11" t="n">
        <x:v>1003.31</x:v>
      </x:c>
    </x:row>
    <x:row r="205">
      <x:c r="A205" s="11" t="n">
        <x:v>204</x:v>
      </x:c>
      <x:c r="B205" s="11" t="str">
        <x:v>2026-08-20</x:v>
      </x:c>
      <x:c r="C205" s="11" t="str">
        <x:v>L4</x:v>
      </x:c>
      <x:c r="D205" s="11" t="str">
        <x:v>Etiquetado</x:v>
      </x:c>
      <x:c r="E205" s="11" t="n">
        <x:v>565.94</x:v>
      </x:c>
      <x:c r="F205" s="11" t="n">
        <x:v>1327.99</x:v>
      </x:c>
    </x:row>
    <x:row r="206">
      <x:c r="A206" s="11" t="n">
        <x:v>205</x:v>
      </x:c>
      <x:c r="B206" s="11" t="str">
        <x:v>2026-08-21</x:v>
      </x:c>
      <x:c r="C206" s="11" t="str">
        <x:v>L1</x:v>
      </x:c>
      <x:c r="D206" s="11" t="str">
        <x:v>Envasado A</x:v>
      </x:c>
      <x:c r="E206" s="11" t="n">
        <x:v>524.9</x:v>
      </x:c>
      <x:c r="F206" s="11" t="n">
        <x:v>1187.08</x:v>
      </x:c>
    </x:row>
    <x:row r="207">
      <x:c r="A207" s="11" t="n">
        <x:v>206</x:v>
      </x:c>
      <x:c r="B207" s="11" t="str">
        <x:v>2026-08-21</x:v>
      </x:c>
      <x:c r="C207" s="11" t="str">
        <x:v>L2</x:v>
      </x:c>
      <x:c r="D207" s="11" t="str">
        <x:v>Envasado B</x:v>
      </x:c>
      <x:c r="E207" s="11" t="n">
        <x:v>732.94</x:v>
      </x:c>
      <x:c r="F207" s="11" t="n">
        <x:v>1611.47</x:v>
      </x:c>
    </x:row>
    <x:row r="208">
      <x:c r="A208" s="11" t="n">
        <x:v>207</x:v>
      </x:c>
      <x:c r="B208" s="11" t="str">
        <x:v>2026-08-21</x:v>
      </x:c>
      <x:c r="C208" s="11" t="str">
        <x:v>L3</x:v>
      </x:c>
      <x:c r="D208" s="11" t="str">
        <x:v>Empaque</x:v>
      </x:c>
      <x:c r="E208" s="11" t="n">
        <x:v>585.77</x:v>
      </x:c>
      <x:c r="F208" s="11" t="n">
        <x:v>1290.81</x:v>
      </x:c>
    </x:row>
    <x:row r="209">
      <x:c r="A209" s="11" t="n">
        <x:v>208</x:v>
      </x:c>
      <x:c r="B209" s="11" t="str">
        <x:v>2026-08-21</x:v>
      </x:c>
      <x:c r="C209" s="11" t="str">
        <x:v>L4</x:v>
      </x:c>
      <x:c r="D209" s="11" t="str">
        <x:v>Etiquetado</x:v>
      </x:c>
      <x:c r="E209" s="11" t="n">
        <x:v>572.73</x:v>
      </x:c>
      <x:c r="F209" s="11" t="n">
        <x:v>1377.35</x:v>
      </x:c>
    </x:row>
    <x:row r="210">
      <x:c r="A210" s="11" t="n">
        <x:v>209</x:v>
      </x:c>
      <x:c r="B210" s="11" t="str">
        <x:v>2026-08-22</x:v>
      </x:c>
      <x:c r="C210" s="11" t="str">
        <x:v>L1</x:v>
      </x:c>
      <x:c r="D210" s="11" t="str">
        <x:v>Envasado A</x:v>
      </x:c>
      <x:c r="E210" s="11" t="n">
        <x:v>715.55</x:v>
      </x:c>
      <x:c r="F210" s="11" t="n">
        <x:v>1501.33</x:v>
      </x:c>
    </x:row>
    <x:row r="211">
      <x:c r="A211" s="11" t="n">
        <x:v>210</x:v>
      </x:c>
      <x:c r="B211" s="11" t="str">
        <x:v>2026-08-22</x:v>
      </x:c>
      <x:c r="C211" s="11" t="str">
        <x:v>L2</x:v>
      </x:c>
      <x:c r="D211" s="11" t="str">
        <x:v>Envasado B</x:v>
      </x:c>
      <x:c r="E211" s="11" t="n">
        <x:v>722.37</x:v>
      </x:c>
      <x:c r="F211" s="11" t="n">
        <x:v>1650.34</x:v>
      </x:c>
    </x:row>
    <x:row r="212">
      <x:c r="A212" s="11" t="n">
        <x:v>211</x:v>
      </x:c>
      <x:c r="B212" s="11" t="str">
        <x:v>2026-08-22</x:v>
      </x:c>
      <x:c r="C212" s="11" t="str">
        <x:v>L3</x:v>
      </x:c>
      <x:c r="D212" s="11" t="str">
        <x:v>Empaque</x:v>
      </x:c>
      <x:c r="E212" s="11" t="n">
        <x:v>725.51</x:v>
      </x:c>
      <x:c r="F212" s="11" t="n">
        <x:v>1542.56</x:v>
      </x:c>
    </x:row>
    <x:row r="213">
      <x:c r="A213" s="11" t="n">
        <x:v>212</x:v>
      </x:c>
      <x:c r="B213" s="11" t="str">
        <x:v>2026-08-22</x:v>
      </x:c>
      <x:c r="C213" s="11" t="str">
        <x:v>L4</x:v>
      </x:c>
      <x:c r="D213" s="11" t="str">
        <x:v>Etiquetado</x:v>
      </x:c>
      <x:c r="E213" s="11" t="n">
        <x:v>555.05</x:v>
      </x:c>
      <x:c r="F213" s="11" t="n">
        <x:v>1294.3</x:v>
      </x:c>
    </x:row>
    <x:row r="214">
      <x:c r="A214" s="11" t="n">
        <x:v>213</x:v>
      </x:c>
      <x:c r="B214" s="11" t="str">
        <x:v>2026-08-23</x:v>
      </x:c>
      <x:c r="C214" s="11" t="str">
        <x:v>L1</x:v>
      </x:c>
      <x:c r="D214" s="11" t="str">
        <x:v>Envasado A</x:v>
      </x:c>
      <x:c r="E214" s="11" t="n">
        <x:v>649.93</x:v>
      </x:c>
      <x:c r="F214" s="11" t="n">
        <x:v>1474.45</x:v>
      </x:c>
    </x:row>
    <x:row r="215">
      <x:c r="A215" s="11" t="n">
        <x:v>214</x:v>
      </x:c>
      <x:c r="B215" s="11" t="str">
        <x:v>2026-08-23</x:v>
      </x:c>
      <x:c r="C215" s="11" t="str">
        <x:v>L2</x:v>
      </x:c>
      <x:c r="D215" s="11" t="str">
        <x:v>Envasado B</x:v>
      </x:c>
      <x:c r="E215" s="11" t="n">
        <x:v>604.87</x:v>
      </x:c>
      <x:c r="F215" s="11" t="n">
        <x:v>1322.95</x:v>
      </x:c>
    </x:row>
    <x:row r="216">
      <x:c r="A216" s="11" t="n">
        <x:v>215</x:v>
      </x:c>
      <x:c r="B216" s="11" t="str">
        <x:v>2026-08-23</x:v>
      </x:c>
      <x:c r="C216" s="11" t="str">
        <x:v>L3</x:v>
      </x:c>
      <x:c r="D216" s="11" t="str">
        <x:v>Empaque</x:v>
      </x:c>
      <x:c r="E216" s="11" t="n">
        <x:v>580.36</x:v>
      </x:c>
      <x:c r="F216" s="11" t="n">
        <x:v>1236.63</x:v>
      </x:c>
    </x:row>
    <x:row r="217">
      <x:c r="A217" s="11" t="n">
        <x:v>216</x:v>
      </x:c>
      <x:c r="B217" s="11" t="str">
        <x:v>2026-08-23</x:v>
      </x:c>
      <x:c r="C217" s="11" t="str">
        <x:v>L4</x:v>
      </x:c>
      <x:c r="D217" s="11" t="str">
        <x:v>Etiquetado</x:v>
      </x:c>
      <x:c r="E217" s="11" t="n">
        <x:v>366.09</x:v>
      </x:c>
      <x:c r="F217" s="11" t="n">
        <x:v>856.03</x:v>
      </x:c>
    </x:row>
    <x:row r="218">
      <x:c r="A218" s="11" t="n">
        <x:v>217</x:v>
      </x:c>
      <x:c r="B218" s="11" t="str">
        <x:v>2026-08-24</x:v>
      </x:c>
      <x:c r="C218" s="11" t="str">
        <x:v>L1</x:v>
      </x:c>
      <x:c r="D218" s="11" t="str">
        <x:v>Envasado A</x:v>
      </x:c>
      <x:c r="E218" s="11" t="n">
        <x:v>673.37</x:v>
      </x:c>
      <x:c r="F218" s="11" t="n">
        <x:v>1528.68</x:v>
      </x:c>
    </x:row>
    <x:row r="219">
      <x:c r="A219" s="11" t="n">
        <x:v>218</x:v>
      </x:c>
      <x:c r="B219" s="11" t="str">
        <x:v>2026-08-24</x:v>
      </x:c>
      <x:c r="C219" s="11" t="str">
        <x:v>L2</x:v>
      </x:c>
      <x:c r="D219" s="11" t="str">
        <x:v>Envasado B</x:v>
      </x:c>
      <x:c r="E219" s="11" t="n">
        <x:v>635.07</x:v>
      </x:c>
      <x:c r="F219" s="11" t="n">
        <x:v>1366.04</x:v>
      </x:c>
    </x:row>
    <x:row r="220">
      <x:c r="A220" s="11" t="n">
        <x:v>219</x:v>
      </x:c>
      <x:c r="B220" s="11" t="str">
        <x:v>2026-08-24</x:v>
      </x:c>
      <x:c r="C220" s="11" t="str">
        <x:v>L3</x:v>
      </x:c>
      <x:c r="D220" s="11" t="str">
        <x:v>Empaque</x:v>
      </x:c>
      <x:c r="E220" s="11" t="n">
        <x:v>739.31</x:v>
      </x:c>
      <x:c r="F220" s="11" t="n">
        <x:v>1783.75</x:v>
      </x:c>
    </x:row>
    <x:row r="221">
      <x:c r="A221" s="11" t="n">
        <x:v>220</x:v>
      </x:c>
      <x:c r="B221" s="11" t="str">
        <x:v>2026-08-24</x:v>
      </x:c>
      <x:c r="C221" s="11" t="str">
        <x:v>L4</x:v>
      </x:c>
      <x:c r="D221" s="11" t="str">
        <x:v>Etiquetado</x:v>
      </x:c>
      <x:c r="E221" s="11" t="n">
        <x:v>503.76</x:v>
      </x:c>
      <x:c r="F221" s="11" t="n">
        <x:v>1229.2</x:v>
      </x:c>
    </x:row>
    <x:row r="222">
      <x:c r="A222" s="11" t="n">
        <x:v>221</x:v>
      </x:c>
      <x:c r="B222" s="11" t="str">
        <x:v>2026-08-25</x:v>
      </x:c>
      <x:c r="C222" s="11" t="str">
        <x:v>L1</x:v>
      </x:c>
      <x:c r="D222" s="11" t="str">
        <x:v>Envasado A</x:v>
      </x:c>
      <x:c r="E222" s="11" t="n">
        <x:v>693.24</x:v>
      </x:c>
      <x:c r="F222" s="11" t="n">
        <x:v>1620.05</x:v>
      </x:c>
    </x:row>
    <x:row r="223">
      <x:c r="A223" s="11" t="n">
        <x:v>222</x:v>
      </x:c>
      <x:c r="B223" s="11" t="str">
        <x:v>2026-08-25</x:v>
      </x:c>
      <x:c r="C223" s="11" t="str">
        <x:v>L2</x:v>
      </x:c>
      <x:c r="D223" s="11" t="str">
        <x:v>Envasado B</x:v>
      </x:c>
      <x:c r="E223" s="11" t="n">
        <x:v>563.12</x:v>
      </x:c>
      <x:c r="F223" s="11" t="n">
        <x:v>1359.56</x:v>
      </x:c>
    </x:row>
    <x:row r="224">
      <x:c r="A224" s="11" t="n">
        <x:v>223</x:v>
      </x:c>
      <x:c r="B224" s="11" t="str">
        <x:v>2026-08-25</x:v>
      </x:c>
      <x:c r="C224" s="11" t="str">
        <x:v>L3</x:v>
      </x:c>
      <x:c r="D224" s="11" t="str">
        <x:v>Empaque</x:v>
      </x:c>
      <x:c r="E224" s="11" t="n">
        <x:v>700.68</x:v>
      </x:c>
      <x:c r="F224" s="11" t="n">
        <x:v>1697.42</x:v>
      </x:c>
    </x:row>
    <x:row r="225">
      <x:c r="A225" s="11" t="n">
        <x:v>224</x:v>
      </x:c>
      <x:c r="B225" s="11" t="str">
        <x:v>2026-08-25</x:v>
      </x:c>
      <x:c r="C225" s="11" t="str">
        <x:v>L4</x:v>
      </x:c>
      <x:c r="D225" s="11" t="str">
        <x:v>Etiquetado</x:v>
      </x:c>
      <x:c r="E225" s="11" t="n">
        <x:v>656.56</x:v>
      </x:c>
      <x:c r="F225" s="11" t="n">
        <x:v>1478.28</x:v>
      </x:c>
    </x:row>
    <x:row r="226">
      <x:c r="A226" s="11" t="n">
        <x:v>225</x:v>
      </x:c>
      <x:c r="B226" s="11" t="str">
        <x:v>2026-08-26</x:v>
      </x:c>
      <x:c r="C226" s="11" t="str">
        <x:v>L1</x:v>
      </x:c>
      <x:c r="D226" s="11" t="str">
        <x:v>Envasado A</x:v>
      </x:c>
      <x:c r="E226" s="11" t="n">
        <x:v>733.85</x:v>
      </x:c>
      <x:c r="F226" s="11" t="n">
        <x:v>1708.9</x:v>
      </x:c>
    </x:row>
    <x:row r="227">
      <x:c r="A227" s="11" t="n">
        <x:v>226</x:v>
      </x:c>
      <x:c r="B227" s="11" t="str">
        <x:v>2026-08-26</x:v>
      </x:c>
      <x:c r="C227" s="11" t="str">
        <x:v>L2</x:v>
      </x:c>
      <x:c r="D227" s="11" t="str">
        <x:v>Envasado B</x:v>
      </x:c>
      <x:c r="E227" s="11" t="n">
        <x:v>635.75</x:v>
      </x:c>
      <x:c r="F227" s="11" t="n">
        <x:v>1336.08</x:v>
      </x:c>
    </x:row>
    <x:row r="228">
      <x:c r="A228" s="11" t="n">
        <x:v>227</x:v>
      </x:c>
      <x:c r="B228" s="11" t="str">
        <x:v>2026-08-26</x:v>
      </x:c>
      <x:c r="C228" s="11" t="str">
        <x:v>L3</x:v>
      </x:c>
      <x:c r="D228" s="11" t="str">
        <x:v>Empaque</x:v>
      </x:c>
      <x:c r="E228" s="11" t="n">
        <x:v>725.4</x:v>
      </x:c>
      <x:c r="F228" s="11" t="n">
        <x:v>1717.57</x:v>
      </x:c>
    </x:row>
    <x:row r="229">
      <x:c r="A229" s="11" t="n">
        <x:v>228</x:v>
      </x:c>
      <x:c r="B229" s="11" t="str">
        <x:v>2026-08-26</x:v>
      </x:c>
      <x:c r="C229" s="11" t="str">
        <x:v>L4</x:v>
      </x:c>
      <x:c r="D229" s="11" t="str">
        <x:v>Etiquetado</x:v>
      </x:c>
      <x:c r="E229" s="11" t="n">
        <x:v>650.94</x:v>
      </x:c>
      <x:c r="F229" s="11" t="n">
        <x:v>1515.08</x:v>
      </x:c>
    </x:row>
    <x:row r="230">
      <x:c r="A230" s="11" t="n">
        <x:v>229</x:v>
      </x:c>
      <x:c r="B230" s="11" t="str">
        <x:v>2026-08-27</x:v>
      </x:c>
      <x:c r="C230" s="11" t="str">
        <x:v>L1</x:v>
      </x:c>
      <x:c r="D230" s="11" t="str">
        <x:v>Envasado A</x:v>
      </x:c>
      <x:c r="E230" s="11" t="n">
        <x:v>615.01</x:v>
      </x:c>
      <x:c r="F230" s="11" t="n">
        <x:v>1429.21</x:v>
      </x:c>
    </x:row>
    <x:row r="231">
      <x:c r="A231" s="11" t="n">
        <x:v>230</x:v>
      </x:c>
      <x:c r="B231" s="11" t="str">
        <x:v>2026-08-27</x:v>
      </x:c>
      <x:c r="C231" s="11" t="str">
        <x:v>L2</x:v>
      </x:c>
      <x:c r="D231" s="11" t="str">
        <x:v>Envasado B</x:v>
      </x:c>
      <x:c r="E231" s="11" t="n">
        <x:v>534.58</x:v>
      </x:c>
      <x:c r="F231" s="11" t="n">
        <x:v>1281.98</x:v>
      </x:c>
    </x:row>
    <x:row r="232">
      <x:c r="A232" s="11" t="n">
        <x:v>231</x:v>
      </x:c>
      <x:c r="B232" s="11" t="str">
        <x:v>2026-08-27</x:v>
      </x:c>
      <x:c r="C232" s="11" t="str">
        <x:v>L3</x:v>
      </x:c>
      <x:c r="D232" s="11" t="str">
        <x:v>Empaque</x:v>
      </x:c>
      <x:c r="E232" s="11" t="n">
        <x:v>670.32</x:v>
      </x:c>
      <x:c r="F232" s="11" t="n">
        <x:v>1575.45</x:v>
      </x:c>
    </x:row>
    <x:row r="233">
      <x:c r="A233" s="11" t="n">
        <x:v>232</x:v>
      </x:c>
      <x:c r="B233" s="11" t="str">
        <x:v>2026-08-27</x:v>
      </x:c>
      <x:c r="C233" s="11" t="str">
        <x:v>L4</x:v>
      </x:c>
      <x:c r="D233" s="11" t="str">
        <x:v>Etiquetado</x:v>
      </x:c>
      <x:c r="E233" s="11" t="n">
        <x:v>610.9</x:v>
      </x:c>
      <x:c r="F233" s="11" t="n">
        <x:v>1346.22</x:v>
      </x:c>
    </x:row>
    <x:row r="234">
      <x:c r="A234" s="11" t="n">
        <x:v>233</x:v>
      </x:c>
      <x:c r="B234" s="11" t="str">
        <x:v>2026-08-28</x:v>
      </x:c>
      <x:c r="C234" s="11" t="str">
        <x:v>L1</x:v>
      </x:c>
      <x:c r="D234" s="11" t="str">
        <x:v>Envasado A</x:v>
      </x:c>
      <x:c r="E234" s="11" t="n">
        <x:v>635.79</x:v>
      </x:c>
      <x:c r="F234" s="11" t="n">
        <x:v>1372.41</x:v>
      </x:c>
    </x:row>
    <x:row r="235">
      <x:c r="A235" s="11" t="n">
        <x:v>234</x:v>
      </x:c>
      <x:c r="B235" s="11" t="str">
        <x:v>2026-08-28</x:v>
      </x:c>
      <x:c r="C235" s="11" t="str">
        <x:v>L2</x:v>
      </x:c>
      <x:c r="D235" s="11" t="str">
        <x:v>Envasado B</x:v>
      </x:c>
      <x:c r="E235" s="11" t="n">
        <x:v>535.43</x:v>
      </x:c>
      <x:c r="F235" s="11" t="n">
        <x:v>1137.05</x:v>
      </x:c>
    </x:row>
    <x:row r="236">
      <x:c r="A236" s="11" t="n">
        <x:v>235</x:v>
      </x:c>
      <x:c r="B236" s="11" t="str">
        <x:v>2026-08-28</x:v>
      </x:c>
      <x:c r="C236" s="11" t="str">
        <x:v>L3</x:v>
      </x:c>
      <x:c r="D236" s="11" t="str">
        <x:v>Empaque</x:v>
      </x:c>
      <x:c r="E236" s="11" t="n">
        <x:v>651.92</x:v>
      </x:c>
      <x:c r="F236" s="11" t="n">
        <x:v>1518.12</x:v>
      </x:c>
    </x:row>
    <x:row r="237">
      <x:c r="A237" s="11" t="n">
        <x:v>236</x:v>
      </x:c>
      <x:c r="B237" s="11" t="str">
        <x:v>2026-08-28</x:v>
      </x:c>
      <x:c r="C237" s="11" t="str">
        <x:v>L4</x:v>
      </x:c>
      <x:c r="D237" s="11" t="str">
        <x:v>Etiquetado</x:v>
      </x:c>
      <x:c r="E237" s="11" t="n">
        <x:v>670.31</x:v>
      </x:c>
      <x:c r="F237" s="11" t="n">
        <x:v>1609.86</x:v>
      </x:c>
    </x:row>
    <x:row r="238">
      <x:c r="A238" s="11" t="n">
        <x:v>237</x:v>
      </x:c>
      <x:c r="B238" s="11" t="str">
        <x:v>2026-08-29</x:v>
      </x:c>
      <x:c r="C238" s="11" t="str">
        <x:v>L1</x:v>
      </x:c>
      <x:c r="D238" s="11" t="str">
        <x:v>Envasado A</x:v>
      </x:c>
      <x:c r="E238" s="11" t="n">
        <x:v>643.67</x:v>
      </x:c>
      <x:c r="F238" s="11" t="n">
        <x:v>1501.75</x:v>
      </x:c>
    </x:row>
    <x:row r="239">
      <x:c r="A239" s="11" t="n">
        <x:v>238</x:v>
      </x:c>
      <x:c r="B239" s="11" t="str">
        <x:v>2026-08-29</x:v>
      </x:c>
      <x:c r="C239" s="11" t="str">
        <x:v>L2</x:v>
      </x:c>
      <x:c r="D239" s="11" t="str">
        <x:v>Envasado B</x:v>
      </x:c>
      <x:c r="E239" s="11" t="n">
        <x:v>529.33</x:v>
      </x:c>
      <x:c r="F239" s="11" t="n">
        <x:v>1196.3</x:v>
      </x:c>
    </x:row>
    <x:row r="240">
      <x:c r="A240" s="11" t="n">
        <x:v>239</x:v>
      </x:c>
      <x:c r="B240" s="11" t="str">
        <x:v>2026-08-29</x:v>
      </x:c>
      <x:c r="C240" s="11" t="str">
        <x:v>L3</x:v>
      </x:c>
      <x:c r="D240" s="11" t="str">
        <x:v>Empaque</x:v>
      </x:c>
      <x:c r="E240" s="11" t="n">
        <x:v>600.25</x:v>
      </x:c>
      <x:c r="F240" s="11" t="n">
        <x:v>1400.56</x:v>
      </x:c>
    </x:row>
    <x:row r="241">
      <x:c r="A241" s="11" t="n">
        <x:v>240</x:v>
      </x:c>
      <x:c r="B241" s="11" t="str">
        <x:v>2026-08-29</x:v>
      </x:c>
      <x:c r="C241" s="11" t="str">
        <x:v>L4</x:v>
      </x:c>
      <x:c r="D241" s="11" t="str">
        <x:v>Etiquetado</x:v>
      </x:c>
      <x:c r="E241" s="11" t="n">
        <x:v>676.63</x:v>
      </x:c>
      <x:c r="F241" s="11" t="n">
        <x:v>1536.53</x:v>
      </x:c>
    </x:row>
    <x:row r="242">
      <x:c r="A242" s="11" t="n">
        <x:v>241</x:v>
      </x:c>
      <x:c r="B242" s="11" t="str">
        <x:v>2026-08-30</x:v>
      </x:c>
      <x:c r="C242" s="11" t="str">
        <x:v>L1</x:v>
      </x:c>
      <x:c r="D242" s="11" t="str">
        <x:v>Envasado A</x:v>
      </x:c>
      <x:c r="E242" s="11" t="n">
        <x:v>632.35</x:v>
      </x:c>
      <x:c r="F242" s="11" t="n">
        <x:v>1356.57</x:v>
      </x:c>
    </x:row>
    <x:row r="243">
      <x:c r="A243" s="11" t="n">
        <x:v>242</x:v>
      </x:c>
      <x:c r="B243" s="11" t="str">
        <x:v>2026-08-30</x:v>
      </x:c>
      <x:c r="C243" s="11" t="str">
        <x:v>L2</x:v>
      </x:c>
      <x:c r="D243" s="11" t="str">
        <x:v>Envasado B</x:v>
      </x:c>
      <x:c r="E243" s="11" t="n">
        <x:v>642.85</x:v>
      </x:c>
      <x:c r="F243" s="11" t="n">
        <x:v>1327.89</x:v>
      </x:c>
    </x:row>
    <x:row r="244">
      <x:c r="A244" s="11" t="n">
        <x:v>243</x:v>
      </x:c>
      <x:c r="B244" s="11" t="str">
        <x:v>2026-08-30</x:v>
      </x:c>
      <x:c r="C244" s="11" t="str">
        <x:v>L3</x:v>
      </x:c>
      <x:c r="D244" s="11" t="str">
        <x:v>Empaque</x:v>
      </x:c>
      <x:c r="E244" s="11" t="n">
        <x:v>725.28</x:v>
      </x:c>
      <x:c r="F244" s="11" t="n">
        <x:v>1755.83</x:v>
      </x:c>
    </x:row>
    <x:row r="245">
      <x:c r="A245" s="11" t="n">
        <x:v>244</x:v>
      </x:c>
      <x:c r="B245" s="11" t="str">
        <x:v>2026-08-30</x:v>
      </x:c>
      <x:c r="C245" s="11" t="str">
        <x:v>L4</x:v>
      </x:c>
      <x:c r="D245" s="11" t="str">
        <x:v>Etiquetado</x:v>
      </x:c>
      <x:c r="E245" s="11" t="n">
        <x:v>761.4</x:v>
      </x:c>
      <x:c r="F245" s="11" t="n">
        <x:v>1643.23</x:v>
      </x:c>
    </x:row>
    <x:row r="246">
      <x:c r="A246" s="11" t="n">
        <x:v>245</x:v>
      </x:c>
      <x:c r="B246" s="11" t="str">
        <x:v>2026-08-31</x:v>
      </x:c>
      <x:c r="C246" s="11" t="str">
        <x:v>L1</x:v>
      </x:c>
      <x:c r="D246" s="11" t="str">
        <x:v>Envasado A</x:v>
      </x:c>
      <x:c r="E246" s="11" t="n">
        <x:v>650.78</x:v>
      </x:c>
      <x:c r="F246" s="11" t="n">
        <x:v>1398.92</x:v>
      </x:c>
    </x:row>
    <x:row r="247">
      <x:c r="A247" s="11" t="n">
        <x:v>246</x:v>
      </x:c>
      <x:c r="B247" s="11" t="str">
        <x:v>2026-08-31</x:v>
      </x:c>
      <x:c r="C247" s="11" t="str">
        <x:v>L2</x:v>
      </x:c>
      <x:c r="D247" s="11" t="str">
        <x:v>Envasado B</x:v>
      </x:c>
      <x:c r="E247" s="11" t="n">
        <x:v>502.05</x:v>
      </x:c>
      <x:c r="F247" s="11" t="n">
        <x:v>1194.56</x:v>
      </x:c>
    </x:row>
    <x:row r="248">
      <x:c r="A248" s="11" t="n">
        <x:v>247</x:v>
      </x:c>
      <x:c r="B248" s="11" t="str">
        <x:v>2026-08-31</x:v>
      </x:c>
      <x:c r="C248" s="11" t="str">
        <x:v>L3</x:v>
      </x:c>
      <x:c r="D248" s="11" t="str">
        <x:v>Empaque</x:v>
      </x:c>
      <x:c r="E248" s="11" t="n">
        <x:v>615.61</x:v>
      </x:c>
      <x:c r="F248" s="11" t="n">
        <x:v>1347.56</x:v>
      </x:c>
    </x:row>
    <x:row r="249">
      <x:c r="A249" s="11" t="n">
        <x:v>248</x:v>
      </x:c>
      <x:c r="B249" s="11" t="str">
        <x:v>2026-08-31</x:v>
      </x:c>
      <x:c r="C249" s="11" t="str">
        <x:v>L4</x:v>
      </x:c>
      <x:c r="D249" s="11" t="str">
        <x:v>Etiquetado</x:v>
      </x:c>
      <x:c r="E249" s="11" t="n">
        <x:v>619.03</x:v>
      </x:c>
      <x:c r="F249" s="11" t="n">
        <x:v>1418.86</x:v>
      </x:c>
    </x:row>
    <x:row r="250">
      <x:c r="A250" s="11" t="n">
        <x:v>249</x:v>
      </x:c>
      <x:c r="B250" s="11" t="str">
        <x:v>2026-09-01</x:v>
      </x:c>
      <x:c r="C250" s="11" t="str">
        <x:v>L1</x:v>
      </x:c>
      <x:c r="D250" s="11" t="str">
        <x:v>Envasado A</x:v>
      </x:c>
      <x:c r="E250" s="11" t="n">
        <x:v>595.88</x:v>
      </x:c>
      <x:c r="F250" s="11" t="n">
        <x:v>1389.7</x:v>
      </x:c>
    </x:row>
    <x:row r="251">
      <x:c r="A251" s="11" t="n">
        <x:v>250</x:v>
      </x:c>
      <x:c r="B251" s="11" t="str">
        <x:v>2026-09-01</x:v>
      </x:c>
      <x:c r="C251" s="11" t="str">
        <x:v>L2</x:v>
      </x:c>
      <x:c r="D251" s="11" t="str">
        <x:v>Envasado B</x:v>
      </x:c>
      <x:c r="E251" s="11" t="n">
        <x:v>645.97</x:v>
      </x:c>
      <x:c r="F251" s="11" t="n">
        <x:v>1466.16</x:v>
      </x:c>
    </x:row>
    <x:row r="252">
      <x:c r="A252" s="11" t="n">
        <x:v>251</x:v>
      </x:c>
      <x:c r="B252" s="11" t="str">
        <x:v>2026-09-01</x:v>
      </x:c>
      <x:c r="C252" s="11" t="str">
        <x:v>L3</x:v>
      </x:c>
      <x:c r="D252" s="11" t="str">
        <x:v>Empaque</x:v>
      </x:c>
      <x:c r="E252" s="11" t="n">
        <x:v>604.8</x:v>
      </x:c>
      <x:c r="F252" s="11" t="n">
        <x:v>1387.77</x:v>
      </x:c>
    </x:row>
    <x:row r="253">
      <x:c r="A253" s="11" t="n">
        <x:v>252</x:v>
      </x:c>
      <x:c r="B253" s="11" t="str">
        <x:v>2026-09-01</x:v>
      </x:c>
      <x:c r="C253" s="11" t="str">
        <x:v>L4</x:v>
      </x:c>
      <x:c r="D253" s="11" t="str">
        <x:v>Etiquetado</x:v>
      </x:c>
      <x:c r="E253" s="11" t="n">
        <x:v>534.25</x:v>
      </x:c>
      <x:c r="F253" s="11" t="n">
        <x:v>1164.59</x:v>
      </x:c>
    </x:row>
    <x:row r="254">
      <x:c r="A254" s="11" t="n">
        <x:v>253</x:v>
      </x:c>
      <x:c r="B254" s="11" t="str">
        <x:v>2026-09-02</x:v>
      </x:c>
      <x:c r="C254" s="11" t="str">
        <x:v>L1</x:v>
      </x:c>
      <x:c r="D254" s="11" t="str">
        <x:v>Envasado A</x:v>
      </x:c>
      <x:c r="E254" s="11" t="n">
        <x:v>766.37</x:v>
      </x:c>
      <x:c r="F254" s="11" t="n">
        <x:v>1823.63</x:v>
      </x:c>
    </x:row>
    <x:row r="255">
      <x:c r="A255" s="11" t="n">
        <x:v>254</x:v>
      </x:c>
      <x:c r="B255" s="11" t="str">
        <x:v>2026-09-02</x:v>
      </x:c>
      <x:c r="C255" s="11" t="str">
        <x:v>L2</x:v>
      </x:c>
      <x:c r="D255" s="11" t="str">
        <x:v>Envasado B</x:v>
      </x:c>
      <x:c r="E255" s="11" t="n">
        <x:v>675.06</x:v>
      </x:c>
      <x:c r="F255" s="11" t="n">
        <x:v>1443.08</x:v>
      </x:c>
    </x:row>
    <x:row r="256">
      <x:c r="A256" s="11" t="n">
        <x:v>255</x:v>
      </x:c>
      <x:c r="B256" s="11" t="str">
        <x:v>2026-09-02</x:v>
      </x:c>
      <x:c r="C256" s="11" t="str">
        <x:v>L3</x:v>
      </x:c>
      <x:c r="D256" s="11" t="str">
        <x:v>Empaque</x:v>
      </x:c>
      <x:c r="E256" s="11" t="n">
        <x:v>671.75</x:v>
      </x:c>
      <x:c r="F256" s="11" t="n">
        <x:v>1638.16</x:v>
      </x:c>
    </x:row>
    <x:row r="257">
      <x:c r="A257" s="11" t="n">
        <x:v>256</x:v>
      </x:c>
      <x:c r="B257" s="11" t="str">
        <x:v>2026-09-02</x:v>
      </x:c>
      <x:c r="C257" s="11" t="str">
        <x:v>L4</x:v>
      </x:c>
      <x:c r="D257" s="11" t="str">
        <x:v>Etiquetado</x:v>
      </x:c>
      <x:c r="E257" s="11" t="n">
        <x:v>608.51</x:v>
      </x:c>
      <x:c r="F257" s="11" t="n">
        <x:v>1378.25</x:v>
      </x:c>
    </x:row>
    <x:row r="258">
      <x:c r="A258" s="11" t="n">
        <x:v>257</x:v>
      </x:c>
      <x:c r="B258" s="11" t="str">
        <x:v>2026-09-03</x:v>
      </x:c>
      <x:c r="C258" s="11" t="str">
        <x:v>L1</x:v>
      </x:c>
      <x:c r="D258" s="11" t="str">
        <x:v>Envasado A</x:v>
      </x:c>
      <x:c r="E258" s="11" t="n">
        <x:v>766.2</x:v>
      </x:c>
      <x:c r="F258" s="11" t="n">
        <x:v>1809.92</x:v>
      </x:c>
    </x:row>
    <x:row r="259">
      <x:c r="A259" s="11" t="n">
        <x:v>258</x:v>
      </x:c>
      <x:c r="B259" s="11" t="str">
        <x:v>2026-09-03</x:v>
      </x:c>
      <x:c r="C259" s="11" t="str">
        <x:v>L2</x:v>
      </x:c>
      <x:c r="D259" s="11" t="str">
        <x:v>Envasado B</x:v>
      </x:c>
      <x:c r="E259" s="11" t="n">
        <x:v>600.37</x:v>
      </x:c>
      <x:c r="F259" s="11" t="n">
        <x:v>1256.32</x:v>
      </x:c>
    </x:row>
    <x:row r="260">
      <x:c r="A260" s="11" t="n">
        <x:v>259</x:v>
      </x:c>
      <x:c r="B260" s="11" t="str">
        <x:v>2026-09-03</x:v>
      </x:c>
      <x:c r="C260" s="11" t="str">
        <x:v>L3</x:v>
      </x:c>
      <x:c r="D260" s="11" t="str">
        <x:v>Empaque</x:v>
      </x:c>
      <x:c r="E260" s="11" t="n">
        <x:v>617.78</x:v>
      </x:c>
      <x:c r="F260" s="11" t="n">
        <x:v>1428.02</x:v>
      </x:c>
    </x:row>
    <x:row r="261">
      <x:c r="A261" s="11" t="n">
        <x:v>260</x:v>
      </x:c>
      <x:c r="B261" s="11" t="str">
        <x:v>2026-09-03</x:v>
      </x:c>
      <x:c r="C261" s="11" t="str">
        <x:v>L4</x:v>
      </x:c>
      <x:c r="D261" s="11" t="str">
        <x:v>Etiquetado</x:v>
      </x:c>
      <x:c r="E261" s="11" t="n">
        <x:v>536.64</x:v>
      </x:c>
      <x:c r="F261" s="11" t="n">
        <x:v>1286.87</x:v>
      </x:c>
    </x:row>
    <x:row r="262">
      <x:c r="A262" s="11" t="n">
        <x:v>261</x:v>
      </x:c>
      <x:c r="B262" s="11" t="str">
        <x:v>2026-09-04</x:v>
      </x:c>
      <x:c r="C262" s="11" t="str">
        <x:v>L1</x:v>
      </x:c>
      <x:c r="D262" s="11" t="str">
        <x:v>Envasado A</x:v>
      </x:c>
      <x:c r="E262" s="11" t="n">
        <x:v>548.53</x:v>
      </x:c>
      <x:c r="F262" s="11" t="n">
        <x:v>1303.71</x:v>
      </x:c>
    </x:row>
    <x:row r="263">
      <x:c r="A263" s="11" t="n">
        <x:v>262</x:v>
      </x:c>
      <x:c r="B263" s="11" t="str">
        <x:v>2026-09-04</x:v>
      </x:c>
      <x:c r="C263" s="11" t="str">
        <x:v>L2</x:v>
      </x:c>
      <x:c r="D263" s="11" t="str">
        <x:v>Envasado B</x:v>
      </x:c>
      <x:c r="E263" s="11" t="n">
        <x:v>539.64</x:v>
      </x:c>
      <x:c r="F263" s="11" t="n">
        <x:v>1153.89</x:v>
      </x:c>
    </x:row>
    <x:row r="264">
      <x:c r="A264" s="11" t="n">
        <x:v>263</x:v>
      </x:c>
      <x:c r="B264" s="11" t="str">
        <x:v>2026-09-04</x:v>
      </x:c>
      <x:c r="C264" s="11" t="str">
        <x:v>L3</x:v>
      </x:c>
      <x:c r="D264" s="11" t="str">
        <x:v>Empaque</x:v>
      </x:c>
      <x:c r="E264" s="11" t="n">
        <x:v>606.78</x:v>
      </x:c>
      <x:c r="F264" s="11" t="n">
        <x:v>1439.95</x:v>
      </x:c>
    </x:row>
    <x:row r="265">
      <x:c r="A265" s="11" t="n">
        <x:v>264</x:v>
      </x:c>
      <x:c r="B265" s="11" t="str">
        <x:v>2026-09-04</x:v>
      </x:c>
      <x:c r="C265" s="11" t="str">
        <x:v>L4</x:v>
      </x:c>
      <x:c r="D265" s="11" t="str">
        <x:v>Etiquetado</x:v>
      </x:c>
      <x:c r="E265" s="11" t="n">
        <x:v>731.44</x:v>
      </x:c>
      <x:c r="F265" s="11" t="n">
        <x:v>1719.73</x:v>
      </x:c>
    </x:row>
    <x:row r="266">
      <x:c r="A266" s="11" t="n">
        <x:v>265</x:v>
      </x:c>
      <x:c r="B266" s="11" t="str">
        <x:v>2026-09-05</x:v>
      </x:c>
      <x:c r="C266" s="11" t="str">
        <x:v>L1</x:v>
      </x:c>
      <x:c r="D266" s="11" t="str">
        <x:v>Envasado A</x:v>
      </x:c>
      <x:c r="E266" s="11" t="n">
        <x:v>654.48</x:v>
      </x:c>
      <x:c r="F266" s="11" t="n">
        <x:v>1531.82</x:v>
      </x:c>
    </x:row>
    <x:row r="267">
      <x:c r="A267" s="11" t="n">
        <x:v>266</x:v>
      </x:c>
      <x:c r="B267" s="11" t="str">
        <x:v>2026-09-05</x:v>
      </x:c>
      <x:c r="C267" s="11" t="str">
        <x:v>L2</x:v>
      </x:c>
      <x:c r="D267" s="11" t="str">
        <x:v>Envasado B</x:v>
      </x:c>
      <x:c r="E267" s="11" t="n">
        <x:v>671.19</x:v>
      </x:c>
      <x:c r="F267" s="11" t="n">
        <x:v>1474.91</x:v>
      </x:c>
    </x:row>
    <x:row r="268">
      <x:c r="A268" s="11" t="n">
        <x:v>267</x:v>
      </x:c>
      <x:c r="B268" s="11" t="str">
        <x:v>2026-09-05</x:v>
      </x:c>
      <x:c r="C268" s="11" t="str">
        <x:v>L3</x:v>
      </x:c>
      <x:c r="D268" s="11" t="str">
        <x:v>Empaque</x:v>
      </x:c>
      <x:c r="E268" s="11" t="n">
        <x:v>650.8</x:v>
      </x:c>
      <x:c r="F268" s="11" t="n">
        <x:v>1381.39</x:v>
      </x:c>
    </x:row>
    <x:row r="269">
      <x:c r="A269" s="11" t="n">
        <x:v>268</x:v>
      </x:c>
      <x:c r="B269" s="11" t="str">
        <x:v>2026-09-05</x:v>
      </x:c>
      <x:c r="C269" s="11" t="str">
        <x:v>L4</x:v>
      </x:c>
      <x:c r="D269" s="11" t="str">
        <x:v>Etiquetado</x:v>
      </x:c>
      <x:c r="E269" s="11" t="n">
        <x:v>598.26</x:v>
      </x:c>
      <x:c r="F269" s="11" t="n">
        <x:v>1270.71</x:v>
      </x:c>
    </x:row>
    <x:row r="270">
      <x:c r="A270" s="11" t="n">
        <x:v>269</x:v>
      </x:c>
      <x:c r="B270" s="11" t="str">
        <x:v>2026-09-06</x:v>
      </x:c>
      <x:c r="C270" s="11" t="str">
        <x:v>L1</x:v>
      </x:c>
      <x:c r="D270" s="11" t="str">
        <x:v>Envasado A</x:v>
      </x:c>
      <x:c r="E270" s="11" t="n">
        <x:v>655.68</x:v>
      </x:c>
      <x:c r="F270" s="11" t="n">
        <x:v>1472.79</x:v>
      </x:c>
    </x:row>
    <x:row r="271">
      <x:c r="A271" s="11" t="n">
        <x:v>270</x:v>
      </x:c>
      <x:c r="B271" s="11" t="str">
        <x:v>2026-09-06</x:v>
      </x:c>
      <x:c r="C271" s="11" t="str">
        <x:v>L2</x:v>
      </x:c>
      <x:c r="D271" s="11" t="str">
        <x:v>Envasado B</x:v>
      </x:c>
      <x:c r="E271" s="11" t="n">
        <x:v>578.15</x:v>
      </x:c>
      <x:c r="F271" s="11" t="n">
        <x:v>1353.91</x:v>
      </x:c>
    </x:row>
    <x:row r="272">
      <x:c r="A272" s="11" t="n">
        <x:v>271</x:v>
      </x:c>
      <x:c r="B272" s="11" t="str">
        <x:v>2026-09-06</x:v>
      </x:c>
      <x:c r="C272" s="11" t="str">
        <x:v>L3</x:v>
      </x:c>
      <x:c r="D272" s="11" t="str">
        <x:v>Empaque</x:v>
      </x:c>
      <x:c r="E272" s="11" t="n">
        <x:v>609.48</x:v>
      </x:c>
      <x:c r="F272" s="11" t="n">
        <x:v>1289.15</x:v>
      </x:c>
    </x:row>
    <x:row r="273">
      <x:c r="A273" s="11" t="n">
        <x:v>272</x:v>
      </x:c>
      <x:c r="B273" s="11" t="str">
        <x:v>2026-09-06</x:v>
      </x:c>
      <x:c r="C273" s="11" t="str">
        <x:v>L4</x:v>
      </x:c>
      <x:c r="D273" s="11" t="str">
        <x:v>Etiquetado</x:v>
      </x:c>
      <x:c r="E273" s="11" t="n">
        <x:v>605.98</x:v>
      </x:c>
      <x:c r="F273" s="11" t="n">
        <x:v>1285.34</x:v>
      </x:c>
    </x:row>
    <x:row r="274">
      <x:c r="A274" s="11" t="n">
        <x:v>273</x:v>
      </x:c>
      <x:c r="B274" s="11" t="str">
        <x:v>2026-09-07</x:v>
      </x:c>
      <x:c r="C274" s="11" t="str">
        <x:v>L1</x:v>
      </x:c>
      <x:c r="D274" s="11" t="str">
        <x:v>Envasado A</x:v>
      </x:c>
      <x:c r="E274" s="11" t="n">
        <x:v>528.47</x:v>
      </x:c>
      <x:c r="F274" s="11" t="n">
        <x:v>1098.05</x:v>
      </x:c>
    </x:row>
    <x:row r="275">
      <x:c r="A275" s="11" t="n">
        <x:v>274</x:v>
      </x:c>
      <x:c r="B275" s="11" t="str">
        <x:v>2026-09-07</x:v>
      </x:c>
      <x:c r="C275" s="11" t="str">
        <x:v>L2</x:v>
      </x:c>
      <x:c r="D275" s="11" t="str">
        <x:v>Envasado B</x:v>
      </x:c>
      <x:c r="E275" s="11" t="n">
        <x:v>691.74</x:v>
      </x:c>
      <x:c r="F275" s="11" t="n">
        <x:v>1438</x:v>
      </x:c>
    </x:row>
    <x:row r="276">
      <x:c r="A276" s="11" t="n">
        <x:v>275</x:v>
      </x:c>
      <x:c r="B276" s="11" t="str">
        <x:v>2026-09-07</x:v>
      </x:c>
      <x:c r="C276" s="11" t="str">
        <x:v>L3</x:v>
      </x:c>
      <x:c r="D276" s="11" t="str">
        <x:v>Empaque</x:v>
      </x:c>
      <x:c r="E276" s="11" t="n">
        <x:v>625.55</x:v>
      </x:c>
      <x:c r="F276" s="11" t="n">
        <x:v>1525.19</x:v>
      </x:c>
    </x:row>
    <x:row r="277">
      <x:c r="A277" s="11" t="n">
        <x:v>276</x:v>
      </x:c>
      <x:c r="B277" s="11" t="str">
        <x:v>2026-09-07</x:v>
      </x:c>
      <x:c r="C277" s="11" t="str">
        <x:v>L4</x:v>
      </x:c>
      <x:c r="D277" s="11" t="str">
        <x:v>Etiquetado</x:v>
      </x:c>
      <x:c r="E277" s="11" t="n">
        <x:v>806.08</x:v>
      </x:c>
      <x:c r="F277" s="11" t="n">
        <x:v>1684.78</x:v>
      </x:c>
    </x:row>
    <x:row r="278">
      <x:c r="A278" s="11" t="n">
        <x:v>277</x:v>
      </x:c>
      <x:c r="B278" s="11" t="str">
        <x:v>2026-09-08</x:v>
      </x:c>
      <x:c r="C278" s="11" t="str">
        <x:v>L1</x:v>
      </x:c>
      <x:c r="D278" s="11" t="str">
        <x:v>Envasado A</x:v>
      </x:c>
      <x:c r="E278" s="11" t="n">
        <x:v>485.01</x:v>
      </x:c>
      <x:c r="F278" s="11" t="n">
        <x:v>1151.02</x:v>
      </x:c>
    </x:row>
    <x:row r="279">
      <x:c r="A279" s="11" t="n">
        <x:v>278</x:v>
      </x:c>
      <x:c r="B279" s="11" t="str">
        <x:v>2026-09-08</x:v>
      </x:c>
      <x:c r="C279" s="11" t="str">
        <x:v>L2</x:v>
      </x:c>
      <x:c r="D279" s="11" t="str">
        <x:v>Envasado B</x:v>
      </x:c>
      <x:c r="E279" s="11" t="n">
        <x:v>597.07</x:v>
      </x:c>
      <x:c r="F279" s="11" t="n">
        <x:v>1368.08</x:v>
      </x:c>
    </x:row>
    <x:row r="280">
      <x:c r="A280" s="11" t="n">
        <x:v>279</x:v>
      </x:c>
      <x:c r="B280" s="11" t="str">
        <x:v>2026-09-08</x:v>
      </x:c>
      <x:c r="C280" s="11" t="str">
        <x:v>L3</x:v>
      </x:c>
      <x:c r="D280" s="11" t="str">
        <x:v>Empaque</x:v>
      </x:c>
      <x:c r="E280" s="11" t="n">
        <x:v>607.48</x:v>
      </x:c>
      <x:c r="F280" s="11" t="n">
        <x:v>1446.18</x:v>
      </x:c>
    </x:row>
    <x:row r="281">
      <x:c r="A281" s="11" t="n">
        <x:v>280</x:v>
      </x:c>
      <x:c r="B281" s="11" t="str">
        <x:v>2026-09-08</x:v>
      </x:c>
      <x:c r="C281" s="11" t="str">
        <x:v>L4</x:v>
      </x:c>
      <x:c r="D281" s="11" t="str">
        <x:v>Etiquetado</x:v>
      </x:c>
      <x:c r="E281" s="11" t="n">
        <x:v>632.07</x:v>
      </x:c>
      <x:c r="F281" s="11" t="n">
        <x:v>1488.76</x:v>
      </x:c>
    </x:row>
    <x:row r="282">
      <x:c r="A282" s="11" t="n">
        <x:v>281</x:v>
      </x:c>
      <x:c r="B282" s="11" t="str">
        <x:v>2026-09-09</x:v>
      </x:c>
      <x:c r="C282" s="11" t="str">
        <x:v>L1</x:v>
      </x:c>
      <x:c r="D282" s="11" t="str">
        <x:v>Envasado A</x:v>
      </x:c>
      <x:c r="E282" s="11" t="n">
        <x:v>604.35</x:v>
      </x:c>
      <x:c r="F282" s="11" t="n">
        <x:v>1298.95</x:v>
      </x:c>
    </x:row>
    <x:row r="283">
      <x:c r="A283" s="11" t="n">
        <x:v>282</x:v>
      </x:c>
      <x:c r="B283" s="11" t="str">
        <x:v>2026-09-09</x:v>
      </x:c>
      <x:c r="C283" s="11" t="str">
        <x:v>L2</x:v>
      </x:c>
      <x:c r="D283" s="11" t="str">
        <x:v>Envasado B</x:v>
      </x:c>
      <x:c r="E283" s="11" t="n">
        <x:v>599.96</x:v>
      </x:c>
      <x:c r="F283" s="11" t="n">
        <x:v>1249.98</x:v>
      </x:c>
    </x:row>
    <x:row r="284">
      <x:c r="A284" s="11" t="n">
        <x:v>283</x:v>
      </x:c>
      <x:c r="B284" s="11" t="str">
        <x:v>2026-09-09</x:v>
      </x:c>
      <x:c r="C284" s="11" t="str">
        <x:v>L3</x:v>
      </x:c>
      <x:c r="D284" s="11" t="str">
        <x:v>Empaque</x:v>
      </x:c>
      <x:c r="E284" s="11" t="n">
        <x:v>694.6</x:v>
      </x:c>
      <x:c r="F284" s="11" t="n">
        <x:v>1427.68</x:v>
      </x:c>
    </x:row>
    <x:row r="285">
      <x:c r="A285" s="11" t="n">
        <x:v>284</x:v>
      </x:c>
      <x:c r="B285" s="11" t="str">
        <x:v>2026-09-09</x:v>
      </x:c>
      <x:c r="C285" s="11" t="str">
        <x:v>L4</x:v>
      </x:c>
      <x:c r="D285" s="11" t="str">
        <x:v>Etiquetado</x:v>
      </x:c>
      <x:c r="E285" s="11" t="n">
        <x:v>713.28</x:v>
      </x:c>
      <x:c r="F285" s="11" t="n">
        <x:v>1737.94</x:v>
      </x:c>
    </x:row>
    <x:row r="286">
      <x:c r="A286" s="11" t="n">
        <x:v>285</x:v>
      </x:c>
      <x:c r="B286" s="11" t="str">
        <x:v>2026-09-10</x:v>
      </x:c>
      <x:c r="C286" s="11" t="str">
        <x:v>L1</x:v>
      </x:c>
      <x:c r="D286" s="11" t="str">
        <x:v>Envasado A</x:v>
      </x:c>
      <x:c r="E286" s="11" t="n">
        <x:v>658.89</x:v>
      </x:c>
      <x:c r="F286" s="11" t="n">
        <x:v>1544.74</x:v>
      </x:c>
    </x:row>
    <x:row r="287">
      <x:c r="A287" s="11" t="n">
        <x:v>286</x:v>
      </x:c>
      <x:c r="B287" s="11" t="str">
        <x:v>2026-09-10</x:v>
      </x:c>
      <x:c r="C287" s="11" t="str">
        <x:v>L2</x:v>
      </x:c>
      <x:c r="D287" s="11" t="str">
        <x:v>Envasado B</x:v>
      </x:c>
      <x:c r="E287" s="11" t="n">
        <x:v>609.39</x:v>
      </x:c>
      <x:c r="F287" s="11" t="n">
        <x:v>1331.73</x:v>
      </x:c>
    </x:row>
    <x:row r="288">
      <x:c r="A288" s="11" t="n">
        <x:v>287</x:v>
      </x:c>
      <x:c r="B288" s="11" t="str">
        <x:v>2026-09-10</x:v>
      </x:c>
      <x:c r="C288" s="11" t="str">
        <x:v>L3</x:v>
      </x:c>
      <x:c r="D288" s="11" t="str">
        <x:v>Empaque</x:v>
      </x:c>
      <x:c r="E288" s="11" t="n">
        <x:v>604.9</x:v>
      </x:c>
      <x:c r="F288" s="11" t="n">
        <x:v>1356.29</x:v>
      </x:c>
    </x:row>
    <x:row r="289">
      <x:c r="A289" s="11" t="n">
        <x:v>288</x:v>
      </x:c>
      <x:c r="B289" s="11" t="str">
        <x:v>2026-09-10</x:v>
      </x:c>
      <x:c r="C289" s="11" t="str">
        <x:v>L4</x:v>
      </x:c>
      <x:c r="D289" s="11" t="str">
        <x:v>Etiquetado</x:v>
      </x:c>
      <x:c r="E289" s="11" t="n">
        <x:v>564.88</x:v>
      </x:c>
      <x:c r="F289" s="11" t="n">
        <x:v>1285.18</x:v>
      </x:c>
    </x:row>
    <x:row r="290">
      <x:c r="A290" s="11" t="n">
        <x:v>289</x:v>
      </x:c>
      <x:c r="B290" s="11" t="str">
        <x:v>2026-09-11</x:v>
      </x:c>
      <x:c r="C290" s="11" t="str">
        <x:v>L1</x:v>
      </x:c>
      <x:c r="D290" s="11" t="str">
        <x:v>Envasado A</x:v>
      </x:c>
      <x:c r="E290" s="11" t="n">
        <x:v>572.34</x:v>
      </x:c>
      <x:c r="F290" s="11" t="n">
        <x:v>1249.25</x:v>
      </x:c>
    </x:row>
    <x:row r="291">
      <x:c r="A291" s="11" t="n">
        <x:v>290</x:v>
      </x:c>
      <x:c r="B291" s="11" t="str">
        <x:v>2026-09-11</x:v>
      </x:c>
      <x:c r="C291" s="11" t="str">
        <x:v>L2</x:v>
      </x:c>
      <x:c r="D291" s="11" t="str">
        <x:v>Envasado B</x:v>
      </x:c>
      <x:c r="E291" s="11" t="n">
        <x:v>637.39</x:v>
      </x:c>
      <x:c r="F291" s="11" t="n">
        <x:v>1346.04</x:v>
      </x:c>
    </x:row>
    <x:row r="292">
      <x:c r="A292" s="11" t="n">
        <x:v>291</x:v>
      </x:c>
      <x:c r="B292" s="11" t="str">
        <x:v>2026-09-11</x:v>
      </x:c>
      <x:c r="C292" s="11" t="str">
        <x:v>L3</x:v>
      </x:c>
      <x:c r="D292" s="11" t="str">
        <x:v>Empaque</x:v>
      </x:c>
      <x:c r="E292" s="11" t="n">
        <x:v>742.5</x:v>
      </x:c>
      <x:c r="F292" s="11" t="n">
        <x:v>1708.49</x:v>
      </x:c>
    </x:row>
    <x:row r="293">
      <x:c r="A293" s="11" t="n">
        <x:v>292</x:v>
      </x:c>
      <x:c r="B293" s="11" t="str">
        <x:v>2026-09-11</x:v>
      </x:c>
      <x:c r="C293" s="11" t="str">
        <x:v>L4</x:v>
      </x:c>
      <x:c r="D293" s="11" t="str">
        <x:v>Etiquetado</x:v>
      </x:c>
      <x:c r="E293" s="11" t="n">
        <x:v>664.87</x:v>
      </x:c>
      <x:c r="F293" s="11" t="n">
        <x:v>1395.72</x:v>
      </x:c>
    </x:row>
    <x:row r="294">
      <x:c r="A294" s="11" t="n">
        <x:v>293</x:v>
      </x:c>
      <x:c r="B294" s="11" t="str">
        <x:v>2026-09-12</x:v>
      </x:c>
      <x:c r="C294" s="11" t="str">
        <x:v>L1</x:v>
      </x:c>
      <x:c r="D294" s="11" t="str">
        <x:v>Envasado A</x:v>
      </x:c>
      <x:c r="E294" s="11" t="n">
        <x:v>637.96</x:v>
      </x:c>
      <x:c r="F294" s="11" t="n">
        <x:v>1383.54</x:v>
      </x:c>
    </x:row>
    <x:row r="295">
      <x:c r="A295" s="11" t="n">
        <x:v>294</x:v>
      </x:c>
      <x:c r="B295" s="11" t="str">
        <x:v>2026-09-12</x:v>
      </x:c>
      <x:c r="C295" s="11" t="str">
        <x:v>L2</x:v>
      </x:c>
      <x:c r="D295" s="11" t="str">
        <x:v>Envasado B</x:v>
      </x:c>
      <x:c r="E295" s="11" t="n">
        <x:v>584.71</x:v>
      </x:c>
      <x:c r="F295" s="11" t="n">
        <x:v>1318.3</x:v>
      </x:c>
    </x:row>
    <x:row r="296">
      <x:c r="A296" s="11" t="n">
        <x:v>295</x:v>
      </x:c>
      <x:c r="B296" s="11" t="str">
        <x:v>2026-09-12</x:v>
      </x:c>
      <x:c r="C296" s="11" t="str">
        <x:v>L3</x:v>
      </x:c>
      <x:c r="D296" s="11" t="str">
        <x:v>Empaque</x:v>
      </x:c>
      <x:c r="E296" s="11" t="n">
        <x:v>644.31</x:v>
      </x:c>
      <x:c r="F296" s="11" t="n">
        <x:v>1555.92</x:v>
      </x:c>
    </x:row>
    <x:row r="297">
      <x:c r="A297" s="11" t="n">
        <x:v>296</x:v>
      </x:c>
      <x:c r="B297" s="11" t="str">
        <x:v>2026-09-12</x:v>
      </x:c>
      <x:c r="C297" s="11" t="str">
        <x:v>L4</x:v>
      </x:c>
      <x:c r="D297" s="11" t="str">
        <x:v>Etiquetado</x:v>
      </x:c>
      <x:c r="E297" s="11" t="n">
        <x:v>579.76</x:v>
      </x:c>
      <x:c r="F297" s="11" t="n">
        <x:v>1194.07</x:v>
      </x:c>
    </x:row>
    <x:row r="298">
      <x:c r="A298" s="11" t="n">
        <x:v>297</x:v>
      </x:c>
      <x:c r="B298" s="11" t="str">
        <x:v>2026-09-13</x:v>
      </x:c>
      <x:c r="C298" s="11" t="str">
        <x:v>L1</x:v>
      </x:c>
      <x:c r="D298" s="11" t="str">
        <x:v>Envasado A</x:v>
      </x:c>
      <x:c r="E298" s="11" t="n">
        <x:v>576.94</x:v>
      </x:c>
      <x:c r="F298" s="11" t="n">
        <x:v>1333.97</x:v>
      </x:c>
    </x:row>
    <x:row r="299">
      <x:c r="A299" s="11" t="n">
        <x:v>298</x:v>
      </x:c>
      <x:c r="B299" s="11" t="str">
        <x:v>2026-09-13</x:v>
      </x:c>
      <x:c r="C299" s="11" t="str">
        <x:v>L2</x:v>
      </x:c>
      <x:c r="D299" s="11" t="str">
        <x:v>Envasado B</x:v>
      </x:c>
      <x:c r="E299" s="11" t="n">
        <x:v>641.22</x:v>
      </x:c>
      <x:c r="F299" s="11" t="n">
        <x:v>1372.44</x:v>
      </x:c>
    </x:row>
    <x:row r="300">
      <x:c r="A300" s="11" t="n">
        <x:v>299</x:v>
      </x:c>
      <x:c r="B300" s="11" t="str">
        <x:v>2026-09-13</x:v>
      </x:c>
      <x:c r="C300" s="11" t="str">
        <x:v>L3</x:v>
      </x:c>
      <x:c r="D300" s="11" t="str">
        <x:v>Empaque</x:v>
      </x:c>
      <x:c r="E300" s="11" t="n">
        <x:v>680.71</x:v>
      </x:c>
      <x:c r="F300" s="11" t="n">
        <x:v>1636.22</x:v>
      </x:c>
    </x:row>
    <x:row r="301">
      <x:c r="A301" s="11" t="n">
        <x:v>300</x:v>
      </x:c>
      <x:c r="B301" s="11" t="str">
        <x:v>2026-09-13</x:v>
      </x:c>
      <x:c r="C301" s="11" t="str">
        <x:v>L4</x:v>
      </x:c>
      <x:c r="D301" s="11" t="str">
        <x:v>Etiquetado</x:v>
      </x:c>
      <x:c r="E301" s="11" t="n">
        <x:v>562.26</x:v>
      </x:c>
      <x:c r="F301" s="11" t="n">
        <x:v>1337.68</x:v>
      </x:c>
    </x:row>
    <x:row r="302">
      <x:c r="A302" s="11" t="n">
        <x:v>301</x:v>
      </x:c>
      <x:c r="B302" s="11" t="str">
        <x:v>2026-09-14</x:v>
      </x:c>
      <x:c r="C302" s="11" t="str">
        <x:v>L1</x:v>
      </x:c>
      <x:c r="D302" s="11" t="str">
        <x:v>Envasado A</x:v>
      </x:c>
      <x:c r="E302" s="11" t="n">
        <x:v>659.42</x:v>
      </x:c>
      <x:c r="F302" s="11" t="n">
        <x:v>1380.86</x:v>
      </x:c>
    </x:row>
    <x:row r="303">
      <x:c r="A303" s="11" t="n">
        <x:v>302</x:v>
      </x:c>
      <x:c r="B303" s="11" t="str">
        <x:v>2026-09-14</x:v>
      </x:c>
      <x:c r="C303" s="11" t="str">
        <x:v>L2</x:v>
      </x:c>
      <x:c r="D303" s="11" t="str">
        <x:v>Envasado B</x:v>
      </x:c>
      <x:c r="E303" s="11" t="n">
        <x:v>653.63</x:v>
      </x:c>
      <x:c r="F303" s="11" t="n">
        <x:v>1366.54</x:v>
      </x:c>
    </x:row>
    <x:row r="304">
      <x:c r="A304" s="11" t="n">
        <x:v>303</x:v>
      </x:c>
      <x:c r="B304" s="11" t="str">
        <x:v>2026-09-14</x:v>
      </x:c>
      <x:c r="C304" s="11" t="str">
        <x:v>L3</x:v>
      </x:c>
      <x:c r="D304" s="11" t="str">
        <x:v>Empaque</x:v>
      </x:c>
      <x:c r="E304" s="11" t="n">
        <x:v>696.87</x:v>
      </x:c>
      <x:c r="F304" s="11" t="n">
        <x:v>1600.21</x:v>
      </x:c>
    </x:row>
    <x:row r="305">
      <x:c r="A305" s="11" t="n">
        <x:v>304</x:v>
      </x:c>
      <x:c r="B305" s="11" t="str">
        <x:v>2026-09-14</x:v>
      </x:c>
      <x:c r="C305" s="11" t="str">
        <x:v>L4</x:v>
      </x:c>
      <x:c r="D305" s="11" t="str">
        <x:v>Etiquetado</x:v>
      </x:c>
      <x:c r="E305" s="11" t="n">
        <x:v>598.11</x:v>
      </x:c>
      <x:c r="F305" s="11" t="n">
        <x:v>1254.44</x:v>
      </x:c>
    </x:row>
    <x:row r="306">
      <x:c r="A306" s="11" t="n">
        <x:v>305</x:v>
      </x:c>
      <x:c r="B306" s="11" t="str">
        <x:v>2026-09-15</x:v>
      </x:c>
      <x:c r="C306" s="11" t="str">
        <x:v>L1</x:v>
      </x:c>
      <x:c r="D306" s="11" t="str">
        <x:v>Envasado A</x:v>
      </x:c>
      <x:c r="E306" s="11" t="n">
        <x:v>789.24</x:v>
      </x:c>
      <x:c r="F306" s="11" t="n">
        <x:v>1900.68</x:v>
      </x:c>
    </x:row>
    <x:row r="307">
      <x:c r="A307" s="11" t="n">
        <x:v>306</x:v>
      </x:c>
      <x:c r="B307" s="11" t="str">
        <x:v>2026-09-15</x:v>
      </x:c>
      <x:c r="C307" s="11" t="str">
        <x:v>L2</x:v>
      </x:c>
      <x:c r="D307" s="11" t="str">
        <x:v>Envasado B</x:v>
      </x:c>
      <x:c r="E307" s="11" t="n">
        <x:v>531.5</x:v>
      </x:c>
      <x:c r="F307" s="11" t="n">
        <x:v>1218.09</x:v>
      </x:c>
    </x:row>
    <x:row r="308">
      <x:c r="A308" s="11" t="n">
        <x:v>307</x:v>
      </x:c>
      <x:c r="B308" s="11" t="str">
        <x:v>2026-09-15</x:v>
      </x:c>
      <x:c r="C308" s="11" t="str">
        <x:v>L3</x:v>
      </x:c>
      <x:c r="D308" s="11" t="str">
        <x:v>Empaque</x:v>
      </x:c>
      <x:c r="E308" s="11" t="n">
        <x:v>665.65</x:v>
      </x:c>
      <x:c r="F308" s="11" t="n">
        <x:v>1524.24</x:v>
      </x:c>
    </x:row>
    <x:row r="309">
      <x:c r="A309" s="11" t="n">
        <x:v>308</x:v>
      </x:c>
      <x:c r="B309" s="11" t="str">
        <x:v>2026-09-15</x:v>
      </x:c>
      <x:c r="C309" s="11" t="str">
        <x:v>L4</x:v>
      </x:c>
      <x:c r="D309" s="11" t="str">
        <x:v>Etiquetado</x:v>
      </x:c>
      <x:c r="E309" s="11" t="n">
        <x:v>714.03</x:v>
      </x:c>
      <x:c r="F309" s="11" t="n">
        <x:v>1657.82</x:v>
      </x:c>
    </x:row>
    <x:row r="310">
      <x:c r="A310" s="11" t="n">
        <x:v>309</x:v>
      </x:c>
      <x:c r="B310" s="11" t="str">
        <x:v>2026-09-16</x:v>
      </x:c>
      <x:c r="C310" s="11" t="str">
        <x:v>L1</x:v>
      </x:c>
      <x:c r="D310" s="11" t="str">
        <x:v>Envasado A</x:v>
      </x:c>
      <x:c r="E310" s="11" t="n">
        <x:v>693.98</x:v>
      </x:c>
      <x:c r="F310" s="11" t="n">
        <x:v>1506.37</x:v>
      </x:c>
    </x:row>
    <x:row r="311">
      <x:c r="A311" s="11" t="n">
        <x:v>310</x:v>
      </x:c>
      <x:c r="B311" s="11" t="str">
        <x:v>2026-09-16</x:v>
      </x:c>
      <x:c r="C311" s="11" t="str">
        <x:v>L2</x:v>
      </x:c>
      <x:c r="D311" s="11" t="str">
        <x:v>Envasado B</x:v>
      </x:c>
      <x:c r="E311" s="11" t="n">
        <x:v>722.12</x:v>
      </x:c>
      <x:c r="F311" s="11" t="n">
        <x:v>1716.5</x:v>
      </x:c>
    </x:row>
    <x:row r="312">
      <x:c r="A312" s="11" t="n">
        <x:v>311</x:v>
      </x:c>
      <x:c r="B312" s="11" t="str">
        <x:v>2026-09-16</x:v>
      </x:c>
      <x:c r="C312" s="11" t="str">
        <x:v>L3</x:v>
      </x:c>
      <x:c r="D312" s="11" t="str">
        <x:v>Empaque</x:v>
      </x:c>
      <x:c r="E312" s="11" t="n">
        <x:v>596.92</x:v>
      </x:c>
      <x:c r="F312" s="11" t="n">
        <x:v>1442.45</x:v>
      </x:c>
    </x:row>
    <x:row r="313">
      <x:c r="A313" s="11" t="n">
        <x:v>312</x:v>
      </x:c>
      <x:c r="B313" s="11" t="str">
        <x:v>2026-09-16</x:v>
      </x:c>
      <x:c r="C313" s="11" t="str">
        <x:v>L4</x:v>
      </x:c>
      <x:c r="D313" s="11" t="str">
        <x:v>Etiquetado</x:v>
      </x:c>
      <x:c r="E313" s="11" t="n">
        <x:v>652.45</x:v>
      </x:c>
      <x:c r="F313" s="11" t="n">
        <x:v>1510.22</x:v>
      </x:c>
    </x:row>
    <x:row r="314">
      <x:c r="A314" s="11" t="n">
        <x:v>313</x:v>
      </x:c>
      <x:c r="B314" s="11" t="str">
        <x:v>2026-09-17</x:v>
      </x:c>
      <x:c r="C314" s="11" t="str">
        <x:v>L1</x:v>
      </x:c>
      <x:c r="D314" s="11" t="str">
        <x:v>Envasado A</x:v>
      </x:c>
      <x:c r="E314" s="11" t="n">
        <x:v>761.5</x:v>
      </x:c>
      <x:c r="F314" s="11" t="n">
        <x:v>1777.74</x:v>
      </x:c>
    </x:row>
    <x:row r="315">
      <x:c r="A315" s="11" t="n">
        <x:v>314</x:v>
      </x:c>
      <x:c r="B315" s="11" t="str">
        <x:v>2026-09-17</x:v>
      </x:c>
      <x:c r="C315" s="11" t="str">
        <x:v>L2</x:v>
      </x:c>
      <x:c r="D315" s="11" t="str">
        <x:v>Envasado B</x:v>
      </x:c>
      <x:c r="E315" s="11" t="n">
        <x:v>556.52</x:v>
      </x:c>
      <x:c r="F315" s="11" t="n">
        <x:v>1157.87</x:v>
      </x:c>
    </x:row>
    <x:row r="316">
      <x:c r="A316" s="11" t="n">
        <x:v>315</x:v>
      </x:c>
      <x:c r="B316" s="11" t="str">
        <x:v>2026-09-17</x:v>
      </x:c>
      <x:c r="C316" s="11" t="str">
        <x:v>L3</x:v>
      </x:c>
      <x:c r="D316" s="11" t="str">
        <x:v>Empaque</x:v>
      </x:c>
      <x:c r="E316" s="11" t="n">
        <x:v>817.67</x:v>
      </x:c>
      <x:c r="F316" s="11" t="n">
        <x:v>1724.84</x:v>
      </x:c>
    </x:row>
    <x:row r="317">
      <x:c r="A317" s="11" t="n">
        <x:v>316</x:v>
      </x:c>
      <x:c r="B317" s="11" t="str">
        <x:v>2026-09-17</x:v>
      </x:c>
      <x:c r="C317" s="11" t="str">
        <x:v>L4</x:v>
      </x:c>
      <x:c r="D317" s="11" t="str">
        <x:v>Etiquetado</x:v>
      </x:c>
      <x:c r="E317" s="11" t="n">
        <x:v>622.71</x:v>
      </x:c>
      <x:c r="F317" s="11" t="n">
        <x:v>1439.92</x:v>
      </x:c>
    </x:row>
    <x:row r="318">
      <x:c r="A318" s="11" t="n">
        <x:v>317</x:v>
      </x:c>
      <x:c r="B318" s="11" t="str">
        <x:v>2026-09-18</x:v>
      </x:c>
      <x:c r="C318" s="11" t="str">
        <x:v>L1</x:v>
      </x:c>
      <x:c r="D318" s="11" t="str">
        <x:v>Envasado A</x:v>
      </x:c>
      <x:c r="E318" s="11" t="n">
        <x:v>583.86</x:v>
      </x:c>
      <x:c r="F318" s="11" t="n">
        <x:v>1365.38</x:v>
      </x:c>
    </x:row>
    <x:row r="319">
      <x:c r="A319" s="11" t="n">
        <x:v>318</x:v>
      </x:c>
      <x:c r="B319" s="11" t="str">
        <x:v>2026-09-18</x:v>
      </x:c>
      <x:c r="C319" s="11" t="str">
        <x:v>L2</x:v>
      </x:c>
      <x:c r="D319" s="11" t="str">
        <x:v>Envasado B</x:v>
      </x:c>
      <x:c r="E319" s="11" t="n">
        <x:v>696.49</x:v>
      </x:c>
      <x:c r="F319" s="11" t="n">
        <x:v>1646.65</x:v>
      </x:c>
    </x:row>
    <x:row r="320">
      <x:c r="A320" s="11" t="n">
        <x:v>319</x:v>
      </x:c>
      <x:c r="B320" s="11" t="str">
        <x:v>2026-09-18</x:v>
      </x:c>
      <x:c r="C320" s="11" t="str">
        <x:v>L3</x:v>
      </x:c>
      <x:c r="D320" s="11" t="str">
        <x:v>Empaque</x:v>
      </x:c>
      <x:c r="E320" s="11" t="n">
        <x:v>588.56</x:v>
      </x:c>
      <x:c r="F320" s="11" t="n">
        <x:v>1342.59</x:v>
      </x:c>
    </x:row>
    <x:row r="321">
      <x:c r="A321" s="11" t="n">
        <x:v>320</x:v>
      </x:c>
      <x:c r="B321" s="11" t="str">
        <x:v>2026-09-18</x:v>
      </x:c>
      <x:c r="C321" s="11" t="str">
        <x:v>L4</x:v>
      </x:c>
      <x:c r="D321" s="11" t="str">
        <x:v>Etiquetado</x:v>
      </x:c>
      <x:c r="E321" s="11" t="n">
        <x:v>624.29</x:v>
      </x:c>
      <x:c r="F321" s="11" t="n">
        <x:v>1519.42</x:v>
      </x:c>
    </x:row>
    <x:row r="322">
      <x:c r="A322" s="11" t="n">
        <x:v>321</x:v>
      </x:c>
      <x:c r="B322" s="11" t="str">
        <x:v>2026-09-19</x:v>
      </x:c>
      <x:c r="C322" s="11" t="str">
        <x:v>L1</x:v>
      </x:c>
      <x:c r="D322" s="11" t="str">
        <x:v>Envasado A</x:v>
      </x:c>
      <x:c r="E322" s="11" t="n">
        <x:v>613.41</x:v>
      </x:c>
      <x:c r="F322" s="11" t="n">
        <x:v>1501.57</x:v>
      </x:c>
    </x:row>
    <x:row r="323">
      <x:c r="A323" s="11" t="n">
        <x:v>322</x:v>
      </x:c>
      <x:c r="B323" s="11" t="str">
        <x:v>2026-09-19</x:v>
      </x:c>
      <x:c r="C323" s="11" t="str">
        <x:v>L2</x:v>
      </x:c>
      <x:c r="D323" s="11" t="str">
        <x:v>Envasado B</x:v>
      </x:c>
      <x:c r="E323" s="11" t="n">
        <x:v>656.42</x:v>
      </x:c>
      <x:c r="F323" s="11" t="n">
        <x:v>1393.41</x:v>
      </x:c>
    </x:row>
    <x:row r="324">
      <x:c r="A324" s="11" t="n">
        <x:v>323</x:v>
      </x:c>
      <x:c r="B324" s="11" t="str">
        <x:v>2026-09-19</x:v>
      </x:c>
      <x:c r="C324" s="11" t="str">
        <x:v>L3</x:v>
      </x:c>
      <x:c r="D324" s="11" t="str">
        <x:v>Empaque</x:v>
      </x:c>
      <x:c r="E324" s="11" t="n">
        <x:v>564.07</x:v>
      </x:c>
      <x:c r="F324" s="11" t="n">
        <x:v>1251.97</x:v>
      </x:c>
    </x:row>
    <x:row r="325">
      <x:c r="A325" s="11" t="n">
        <x:v>324</x:v>
      </x:c>
      <x:c r="B325" s="11" t="str">
        <x:v>2026-09-19</x:v>
      </x:c>
      <x:c r="C325" s="11" t="str">
        <x:v>L4</x:v>
      </x:c>
      <x:c r="D325" s="11" t="str">
        <x:v>Etiquetado</x:v>
      </x:c>
      <x:c r="E325" s="11" t="n">
        <x:v>669.3</x:v>
      </x:c>
      <x:c r="F325" s="11" t="n">
        <x:v>1557.71</x:v>
      </x:c>
    </x:row>
    <x:row r="326">
      <x:c r="A326" s="11" t="n">
        <x:v>325</x:v>
      </x:c>
      <x:c r="B326" s="11" t="str">
        <x:v>2026-09-20</x:v>
      </x:c>
      <x:c r="C326" s="11" t="str">
        <x:v>L1</x:v>
      </x:c>
      <x:c r="D326" s="11" t="str">
        <x:v>Envasado A</x:v>
      </x:c>
      <x:c r="E326" s="11" t="n">
        <x:v>490.56</x:v>
      </x:c>
      <x:c r="F326" s="11" t="n">
        <x:v>1071.08</x:v>
      </x:c>
    </x:row>
    <x:row r="327">
      <x:c r="A327" s="11" t="n">
        <x:v>326</x:v>
      </x:c>
      <x:c r="B327" s="11" t="str">
        <x:v>2026-09-20</x:v>
      </x:c>
      <x:c r="C327" s="11" t="str">
        <x:v>L2</x:v>
      </x:c>
      <x:c r="D327" s="11" t="str">
        <x:v>Envasado B</x:v>
      </x:c>
      <x:c r="E327" s="11" t="n">
        <x:v>697.71</x:v>
      </x:c>
      <x:c r="F327" s="11" t="n">
        <x:v>1654.17</x:v>
      </x:c>
    </x:row>
    <x:row r="328">
      <x:c r="A328" s="11" t="n">
        <x:v>327</x:v>
      </x:c>
      <x:c r="B328" s="11" t="str">
        <x:v>2026-09-20</x:v>
      </x:c>
      <x:c r="C328" s="11" t="str">
        <x:v>L3</x:v>
      </x:c>
      <x:c r="D328" s="11" t="str">
        <x:v>Empaque</x:v>
      </x:c>
      <x:c r="E328" s="11" t="n">
        <x:v>583.76</x:v>
      </x:c>
      <x:c r="F328" s="11" t="n">
        <x:v>1294.47</x:v>
      </x:c>
    </x:row>
    <x:row r="329">
      <x:c r="A329" s="11" t="n">
        <x:v>328</x:v>
      </x:c>
      <x:c r="B329" s="11" t="str">
        <x:v>2026-09-20</x:v>
      </x:c>
      <x:c r="C329" s="11" t="str">
        <x:v>L4</x:v>
      </x:c>
      <x:c r="D329" s="11" t="str">
        <x:v>Etiquetado</x:v>
      </x:c>
      <x:c r="E329" s="11" t="n">
        <x:v>567.42</x:v>
      </x:c>
      <x:c r="F329" s="11" t="n">
        <x:v>1276.04</x:v>
      </x:c>
    </x:row>
    <x:row r="330">
      <x:c r="A330" s="11" t="n">
        <x:v>329</x:v>
      </x:c>
      <x:c r="B330" s="11" t="str">
        <x:v>2026-09-21</x:v>
      </x:c>
      <x:c r="C330" s="11" t="str">
        <x:v>L1</x:v>
      </x:c>
      <x:c r="D330" s="11" t="str">
        <x:v>Envasado A</x:v>
      </x:c>
      <x:c r="E330" s="11" t="n">
        <x:v>517.53</x:v>
      </x:c>
      <x:c r="F330" s="11" t="n">
        <x:v>1230.98</x:v>
      </x:c>
    </x:row>
    <x:row r="331">
      <x:c r="A331" s="11" t="n">
        <x:v>330</x:v>
      </x:c>
      <x:c r="B331" s="11" t="str">
        <x:v>2026-09-21</x:v>
      </x:c>
      <x:c r="C331" s="11" t="str">
        <x:v>L2</x:v>
      </x:c>
      <x:c r="D331" s="11" t="str">
        <x:v>Envasado B</x:v>
      </x:c>
      <x:c r="E331" s="11" t="n">
        <x:v>597.93</x:v>
      </x:c>
      <x:c r="F331" s="11" t="n">
        <x:v>1317.75</x:v>
      </x:c>
    </x:row>
    <x:row r="332">
      <x:c r="A332" s="11" t="n">
        <x:v>331</x:v>
      </x:c>
      <x:c r="B332" s="11" t="str">
        <x:v>2026-09-21</x:v>
      </x:c>
      <x:c r="C332" s="11" t="str">
        <x:v>L3</x:v>
      </x:c>
      <x:c r="D332" s="11" t="str">
        <x:v>Empaque</x:v>
      </x:c>
      <x:c r="E332" s="11" t="n">
        <x:v>542.29</x:v>
      </x:c>
      <x:c r="F332" s="11" t="n">
        <x:v>1237.05</x:v>
      </x:c>
    </x:row>
    <x:row r="333">
      <x:c r="A333" s="11" t="n">
        <x:v>332</x:v>
      </x:c>
      <x:c r="B333" s="11" t="str">
        <x:v>2026-09-21</x:v>
      </x:c>
      <x:c r="C333" s="11" t="str">
        <x:v>L4</x:v>
      </x:c>
      <x:c r="D333" s="11" t="str">
        <x:v>Etiquetado</x:v>
      </x:c>
      <x:c r="E333" s="11" t="n">
        <x:v>576.66</x:v>
      </x:c>
      <x:c r="F333" s="11" t="n">
        <x:v>1342.12</x:v>
      </x:c>
    </x:row>
    <x:row r="334">
      <x:c r="A334" s="11" t="n">
        <x:v>333</x:v>
      </x:c>
      <x:c r="B334" s="11" t="str">
        <x:v>2026-09-22</x:v>
      </x:c>
      <x:c r="C334" s="11" t="str">
        <x:v>L1</x:v>
      </x:c>
      <x:c r="D334" s="11" t="str">
        <x:v>Envasado A</x:v>
      </x:c>
      <x:c r="E334" s="11" t="n">
        <x:v>618.57</x:v>
      </x:c>
      <x:c r="F334" s="11" t="n">
        <x:v>1326.26</x:v>
      </x:c>
    </x:row>
    <x:row r="335">
      <x:c r="A335" s="11" t="n">
        <x:v>334</x:v>
      </x:c>
      <x:c r="B335" s="11" t="str">
        <x:v>2026-09-22</x:v>
      </x:c>
      <x:c r="C335" s="11" t="str">
        <x:v>L2</x:v>
      </x:c>
      <x:c r="D335" s="11" t="str">
        <x:v>Envasado B</x:v>
      </x:c>
      <x:c r="E335" s="11" t="n">
        <x:v>487.54</x:v>
      </x:c>
      <x:c r="F335" s="11" t="n">
        <x:v>1000.02</x:v>
      </x:c>
    </x:row>
    <x:row r="336">
      <x:c r="A336" s="11" t="n">
        <x:v>335</x:v>
      </x:c>
      <x:c r="B336" s="11" t="str">
        <x:v>2026-09-22</x:v>
      </x:c>
      <x:c r="C336" s="11" t="str">
        <x:v>L3</x:v>
      </x:c>
      <x:c r="D336" s="11" t="str">
        <x:v>Empaque</x:v>
      </x:c>
      <x:c r="E336" s="11" t="n">
        <x:v>635.8</x:v>
      </x:c>
      <x:c r="F336" s="11" t="n">
        <x:v>1445.4</x:v>
      </x:c>
    </x:row>
    <x:row r="337">
      <x:c r="A337" s="11" t="n">
        <x:v>336</x:v>
      </x:c>
      <x:c r="B337" s="11" t="str">
        <x:v>2026-09-22</x:v>
      </x:c>
      <x:c r="C337" s="11" t="str">
        <x:v>L4</x:v>
      </x:c>
      <x:c r="D337" s="11" t="str">
        <x:v>Etiquetado</x:v>
      </x:c>
      <x:c r="E337" s="11" t="n">
        <x:v>619.39</x:v>
      </x:c>
      <x:c r="F337" s="11" t="n">
        <x:v>1507</x:v>
      </x:c>
    </x:row>
    <x:row r="338">
      <x:c r="A338" s="11" t="n">
        <x:v>337</x:v>
      </x:c>
      <x:c r="B338" s="11" t="str">
        <x:v>2026-09-23</x:v>
      </x:c>
      <x:c r="C338" s="11" t="str">
        <x:v>L1</x:v>
      </x:c>
      <x:c r="D338" s="11" t="str">
        <x:v>Envasado A</x:v>
      </x:c>
      <x:c r="E338" s="11" t="n">
        <x:v>646.19</x:v>
      </x:c>
      <x:c r="F338" s="11" t="n">
        <x:v>1414.99</x:v>
      </x:c>
    </x:row>
    <x:row r="339">
      <x:c r="A339" s="11" t="n">
        <x:v>338</x:v>
      </x:c>
      <x:c r="B339" s="11" t="str">
        <x:v>2026-09-23</x:v>
      </x:c>
      <x:c r="C339" s="11" t="str">
        <x:v>L2</x:v>
      </x:c>
      <x:c r="D339" s="11" t="str">
        <x:v>Envasado B</x:v>
      </x:c>
      <x:c r="E339" s="11" t="n">
        <x:v>605.8</x:v>
      </x:c>
      <x:c r="F339" s="11" t="n">
        <x:v>1447.56</x:v>
      </x:c>
    </x:row>
    <x:row r="340">
      <x:c r="A340" s="11" t="n">
        <x:v>339</x:v>
      </x:c>
      <x:c r="B340" s="11" t="str">
        <x:v>2026-09-23</x:v>
      </x:c>
      <x:c r="C340" s="11" t="str">
        <x:v>L3</x:v>
      </x:c>
      <x:c r="D340" s="11" t="str">
        <x:v>Empaque</x:v>
      </x:c>
      <x:c r="E340" s="11" t="n">
        <x:v>725.24</x:v>
      </x:c>
      <x:c r="F340" s="11" t="n">
        <x:v>1572.23</x:v>
      </x:c>
    </x:row>
    <x:row r="341">
      <x:c r="A341" s="11" t="n">
        <x:v>340</x:v>
      </x:c>
      <x:c r="B341" s="11" t="str">
        <x:v>2026-09-23</x:v>
      </x:c>
      <x:c r="C341" s="11" t="str">
        <x:v>L4</x:v>
      </x:c>
      <x:c r="D341" s="11" t="str">
        <x:v>Etiquetado</x:v>
      </x:c>
      <x:c r="E341" s="11" t="n">
        <x:v>503.28</x:v>
      </x:c>
      <x:c r="F341" s="11" t="n">
        <x:v>1060.74</x:v>
      </x:c>
    </x:row>
    <x:row r="342">
      <x:c r="A342" s="11" t="n">
        <x:v>341</x:v>
      </x:c>
      <x:c r="B342" s="11" t="str">
        <x:v>2026-09-24</x:v>
      </x:c>
      <x:c r="C342" s="11" t="str">
        <x:v>L1</x:v>
      </x:c>
      <x:c r="D342" s="11" t="str">
        <x:v>Envasado A</x:v>
      </x:c>
      <x:c r="E342" s="11" t="n">
        <x:v>757.28</x:v>
      </x:c>
      <x:c r="F342" s="11" t="n">
        <x:v>1828.97</x:v>
      </x:c>
    </x:row>
    <x:row r="343">
      <x:c r="A343" s="11" t="n">
        <x:v>342</x:v>
      </x:c>
      <x:c r="B343" s="11" t="str">
        <x:v>2026-09-24</x:v>
      </x:c>
      <x:c r="C343" s="11" t="str">
        <x:v>L2</x:v>
      </x:c>
      <x:c r="D343" s="11" t="str">
        <x:v>Envasado B</x:v>
      </x:c>
      <x:c r="E343" s="11" t="n">
        <x:v>439.09</x:v>
      </x:c>
      <x:c r="F343" s="11" t="n">
        <x:v>942.73</x:v>
      </x:c>
    </x:row>
    <x:row r="344">
      <x:c r="A344" s="11" t="n">
        <x:v>343</x:v>
      </x:c>
      <x:c r="B344" s="11" t="str">
        <x:v>2026-09-24</x:v>
      </x:c>
      <x:c r="C344" s="11" t="str">
        <x:v>L3</x:v>
      </x:c>
      <x:c r="D344" s="11" t="str">
        <x:v>Empaque</x:v>
      </x:c>
      <x:c r="E344" s="11" t="n">
        <x:v>633.54</x:v>
      </x:c>
      <x:c r="F344" s="11" t="n">
        <x:v>1333.68</x:v>
      </x:c>
    </x:row>
    <x:row r="345">
      <x:c r="A345" s="11" t="n">
        <x:v>344</x:v>
      </x:c>
      <x:c r="B345" s="11" t="str">
        <x:v>2026-09-24</x:v>
      </x:c>
      <x:c r="C345" s="11" t="str">
        <x:v>L4</x:v>
      </x:c>
      <x:c r="D345" s="11" t="str">
        <x:v>Etiquetado</x:v>
      </x:c>
      <x:c r="E345" s="11" t="n">
        <x:v>594.56</x:v>
      </x:c>
      <x:c r="F345" s="11" t="n">
        <x:v>1447.65</x:v>
      </x:c>
    </x:row>
    <x:row r="346">
      <x:c r="A346" s="11" t="n">
        <x:v>345</x:v>
      </x:c>
      <x:c r="B346" s="11" t="str">
        <x:v>2026-09-25</x:v>
      </x:c>
      <x:c r="C346" s="11" t="str">
        <x:v>L1</x:v>
      </x:c>
      <x:c r="D346" s="11" t="str">
        <x:v>Envasado A</x:v>
      </x:c>
      <x:c r="E346" s="11" t="n">
        <x:v>596.39</x:v>
      </x:c>
      <x:c r="F346" s="11" t="n">
        <x:v>1228.88</x:v>
      </x:c>
    </x:row>
    <x:row r="347">
      <x:c r="A347" s="11" t="n">
        <x:v>346</x:v>
      </x:c>
      <x:c r="B347" s="11" t="str">
        <x:v>2026-09-25</x:v>
      </x:c>
      <x:c r="C347" s="11" t="str">
        <x:v>L2</x:v>
      </x:c>
      <x:c r="D347" s="11" t="str">
        <x:v>Envasado B</x:v>
      </x:c>
      <x:c r="E347" s="11" t="n">
        <x:v>540.68</x:v>
      </x:c>
      <x:c r="F347" s="11" t="n">
        <x:v>1317.08</x:v>
      </x:c>
    </x:row>
    <x:row r="348">
      <x:c r="A348" s="11" t="n">
        <x:v>347</x:v>
      </x:c>
      <x:c r="B348" s="11" t="str">
        <x:v>2026-09-25</x:v>
      </x:c>
      <x:c r="C348" s="11" t="str">
        <x:v>L3</x:v>
      </x:c>
      <x:c r="D348" s="11" t="str">
        <x:v>Empaque</x:v>
      </x:c>
      <x:c r="E348" s="11" t="n">
        <x:v>528.52</x:v>
      </x:c>
      <x:c r="F348" s="11" t="n">
        <x:v>1223.58</x:v>
      </x:c>
    </x:row>
    <x:row r="349">
      <x:c r="A349" s="11" t="n">
        <x:v>348</x:v>
      </x:c>
      <x:c r="B349" s="11" t="str">
        <x:v>2026-09-25</x:v>
      </x:c>
      <x:c r="C349" s="11" t="str">
        <x:v>L4</x:v>
      </x:c>
      <x:c r="D349" s="11" t="str">
        <x:v>Etiquetado</x:v>
      </x:c>
      <x:c r="E349" s="11" t="n">
        <x:v>715.37</x:v>
      </x:c>
      <x:c r="F349" s="11" t="n">
        <x:v>1487.62</x:v>
      </x:c>
    </x:row>
    <x:row r="350">
      <x:c r="A350" s="11" t="n">
        <x:v>349</x:v>
      </x:c>
      <x:c r="B350" s="11" t="str">
        <x:v>2026-09-26</x:v>
      </x:c>
      <x:c r="C350" s="11" t="str">
        <x:v>L1</x:v>
      </x:c>
      <x:c r="D350" s="11" t="str">
        <x:v>Envasado A</x:v>
      </x:c>
      <x:c r="E350" s="11" t="n">
        <x:v>709.74</x:v>
      </x:c>
      <x:c r="F350" s="11" t="n">
        <x:v>1463.54</x:v>
      </x:c>
    </x:row>
    <x:row r="351">
      <x:c r="A351" s="11" t="n">
        <x:v>350</x:v>
      </x:c>
      <x:c r="B351" s="11" t="str">
        <x:v>2026-09-26</x:v>
      </x:c>
      <x:c r="C351" s="11" t="str">
        <x:v>L2</x:v>
      </x:c>
      <x:c r="D351" s="11" t="str">
        <x:v>Envasado B</x:v>
      </x:c>
      <x:c r="E351" s="11" t="n">
        <x:v>473.43</x:v>
      </x:c>
      <x:c r="F351" s="11" t="n">
        <x:v>1039.7</x:v>
      </x:c>
    </x:row>
    <x:row r="352">
      <x:c r="A352" s="11" t="n">
        <x:v>351</x:v>
      </x:c>
      <x:c r="B352" s="11" t="str">
        <x:v>2026-09-26</x:v>
      </x:c>
      <x:c r="C352" s="11" t="str">
        <x:v>L3</x:v>
      </x:c>
      <x:c r="D352" s="11" t="str">
        <x:v>Empaque</x:v>
      </x:c>
      <x:c r="E352" s="11" t="n">
        <x:v>649.93</x:v>
      </x:c>
      <x:c r="F352" s="11" t="n">
        <x:v>1480.33</x:v>
      </x:c>
    </x:row>
    <x:row r="353">
      <x:c r="A353" s="11" t="n">
        <x:v>352</x:v>
      </x:c>
      <x:c r="B353" s="11" t="str">
        <x:v>2026-09-26</x:v>
      </x:c>
      <x:c r="C353" s="11" t="str">
        <x:v>L4</x:v>
      </x:c>
      <x:c r="D353" s="11" t="str">
        <x:v>Etiquetado</x:v>
      </x:c>
      <x:c r="E353" s="11" t="n">
        <x:v>636.21</x:v>
      </x:c>
      <x:c r="F353" s="11" t="n">
        <x:v>1511.31</x:v>
      </x:c>
    </x:row>
    <x:row r="354">
      <x:c r="A354" s="11" t="n">
        <x:v>353</x:v>
      </x:c>
      <x:c r="B354" s="11" t="str">
        <x:v>2026-09-27</x:v>
      </x:c>
      <x:c r="C354" s="11" t="str">
        <x:v>L1</x:v>
      </x:c>
      <x:c r="D354" s="11" t="str">
        <x:v>Envasado A</x:v>
      </x:c>
      <x:c r="E354" s="11" t="n">
        <x:v>651.79</x:v>
      </x:c>
      <x:c r="F354" s="11" t="n">
        <x:v>1530.03</x:v>
      </x:c>
    </x:row>
    <x:row r="355">
      <x:c r="A355" s="11" t="n">
        <x:v>354</x:v>
      </x:c>
      <x:c r="B355" s="11" t="str">
        <x:v>2026-09-27</x:v>
      </x:c>
      <x:c r="C355" s="11" t="str">
        <x:v>L2</x:v>
      </x:c>
      <x:c r="D355" s="11" t="str">
        <x:v>Envasado B</x:v>
      </x:c>
      <x:c r="E355" s="11" t="n">
        <x:v>663.59</x:v>
      </x:c>
      <x:c r="F355" s="11" t="n">
        <x:v>1558.93</x:v>
      </x:c>
    </x:row>
    <x:row r="356">
      <x:c r="A356" s="11" t="n">
        <x:v>355</x:v>
      </x:c>
      <x:c r="B356" s="11" t="str">
        <x:v>2026-09-27</x:v>
      </x:c>
      <x:c r="C356" s="11" t="str">
        <x:v>L3</x:v>
      </x:c>
      <x:c r="D356" s="11" t="str">
        <x:v>Empaque</x:v>
      </x:c>
      <x:c r="E356" s="11" t="n">
        <x:v>597.22</x:v>
      </x:c>
      <x:c r="F356" s="11" t="n">
        <x:v>1322.61</x:v>
      </x:c>
    </x:row>
    <x:row r="357">
      <x:c r="A357" s="11" t="n">
        <x:v>356</x:v>
      </x:c>
      <x:c r="B357" s="11" t="str">
        <x:v>2026-09-27</x:v>
      </x:c>
      <x:c r="C357" s="11" t="str">
        <x:v>L4</x:v>
      </x:c>
      <x:c r="D357" s="11" t="str">
        <x:v>Etiquetado</x:v>
      </x:c>
      <x:c r="E357" s="11" t="n">
        <x:v>551.99</x:v>
      </x:c>
      <x:c r="F357" s="11" t="n">
        <x:v>1206.06</x:v>
      </x:c>
    </x:row>
    <x:row r="358">
      <x:c r="A358" s="11" t="n">
        <x:v>357</x:v>
      </x:c>
      <x:c r="B358" s="11" t="str">
        <x:v>2026-09-28</x:v>
      </x:c>
      <x:c r="C358" s="11" t="str">
        <x:v>L1</x:v>
      </x:c>
      <x:c r="D358" s="11" t="str">
        <x:v>Envasado A</x:v>
      </x:c>
      <x:c r="E358" s="11" t="n">
        <x:v>645.68</x:v>
      </x:c>
      <x:c r="F358" s="11" t="n">
        <x:v>1397.71</x:v>
      </x:c>
    </x:row>
    <x:row r="359">
      <x:c r="A359" s="11" t="n">
        <x:v>358</x:v>
      </x:c>
      <x:c r="B359" s="11" t="str">
        <x:v>2026-09-28</x:v>
      </x:c>
      <x:c r="C359" s="11" t="str">
        <x:v>L2</x:v>
      </x:c>
      <x:c r="D359" s="11" t="str">
        <x:v>Envasado B</x:v>
      </x:c>
      <x:c r="E359" s="11" t="n">
        <x:v>491.51</x:v>
      </x:c>
      <x:c r="F359" s="11" t="n">
        <x:v>1038.24</x:v>
      </x:c>
    </x:row>
    <x:row r="360">
      <x:c r="A360" s="11" t="n">
        <x:v>359</x:v>
      </x:c>
      <x:c r="B360" s="11" t="str">
        <x:v>2026-09-28</x:v>
      </x:c>
      <x:c r="C360" s="11" t="str">
        <x:v>L3</x:v>
      </x:c>
      <x:c r="D360" s="11" t="str">
        <x:v>Empaque</x:v>
      </x:c>
      <x:c r="E360" s="11" t="n">
        <x:v>635.94</x:v>
      </x:c>
      <x:c r="F360" s="11" t="n">
        <x:v>1494.75</x:v>
      </x:c>
    </x:row>
    <x:row r="361">
      <x:c r="A361" s="11" t="n">
        <x:v>360</x:v>
      </x:c>
      <x:c r="B361" s="11" t="str">
        <x:v>2026-09-28</x:v>
      </x:c>
      <x:c r="C361" s="11" t="str">
        <x:v>L4</x:v>
      </x:c>
      <x:c r="D361" s="11" t="str">
        <x:v>Etiquetado</x:v>
      </x:c>
      <x:c r="E361" s="11" t="n">
        <x:v>605.25</x:v>
      </x:c>
      <x:c r="F361" s="11" t="n">
        <x:v>1362.61</x:v>
      </x:c>
    </x:row>
    <x:row r="362">
      <x:c r="A362" s="11" t="n">
        <x:v>361</x:v>
      </x:c>
      <x:c r="B362" s="11" t="str">
        <x:v>2026-09-29</x:v>
      </x:c>
      <x:c r="C362" s="11" t="str">
        <x:v>L1</x:v>
      </x:c>
      <x:c r="D362" s="11" t="str">
        <x:v>Envasado A</x:v>
      </x:c>
      <x:c r="E362" s="11" t="n">
        <x:v>780.36</x:v>
      </x:c>
      <x:c r="F362" s="11" t="n">
        <x:v>1811.97</x:v>
      </x:c>
    </x:row>
    <x:row r="363">
      <x:c r="A363" s="11" t="n">
        <x:v>362</x:v>
      </x:c>
      <x:c r="B363" s="11" t="str">
        <x:v>2026-09-29</x:v>
      </x:c>
      <x:c r="C363" s="11" t="str">
        <x:v>L2</x:v>
      </x:c>
      <x:c r="D363" s="11" t="str">
        <x:v>Envasado B</x:v>
      </x:c>
      <x:c r="E363" s="11" t="n">
        <x:v>630.97</x:v>
      </x:c>
      <x:c r="F363" s="11" t="n">
        <x:v>1514.57</x:v>
      </x:c>
    </x:row>
    <x:row r="364">
      <x:c r="A364" s="11" t="n">
        <x:v>363</x:v>
      </x:c>
      <x:c r="B364" s="11" t="str">
        <x:v>2026-09-29</x:v>
      </x:c>
      <x:c r="C364" s="11" t="str">
        <x:v>L3</x:v>
      </x:c>
      <x:c r="D364" s="11" t="str">
        <x:v>Empaque</x:v>
      </x:c>
      <x:c r="E364" s="11" t="n">
        <x:v>469.28</x:v>
      </x:c>
      <x:c r="F364" s="11" t="n">
        <x:v>1134.56</x:v>
      </x:c>
    </x:row>
    <x:row r="365">
      <x:c r="A365" s="11" t="n">
        <x:v>364</x:v>
      </x:c>
      <x:c r="B365" s="11" t="str">
        <x:v>2026-09-29</x:v>
      </x:c>
      <x:c r="C365" s="11" t="str">
        <x:v>L4</x:v>
      </x:c>
      <x:c r="D365" s="11" t="str">
        <x:v>Etiquetado</x:v>
      </x:c>
      <x:c r="E365" s="11" t="n">
        <x:v>566.64</x:v>
      </x:c>
      <x:c r="F365" s="11" t="n">
        <x:v>1275.36</x:v>
      </x:c>
    </x:row>
    <x:row r="366">
      <x:c r="A366" s="11" t="n">
        <x:v>365</x:v>
      </x:c>
      <x:c r="B366" s="11" t="str">
        <x:v>2026-09-30</x:v>
      </x:c>
      <x:c r="C366" s="11" t="str">
        <x:v>L1</x:v>
      </x:c>
      <x:c r="D366" s="11" t="str">
        <x:v>Envasado A</x:v>
      </x:c>
      <x:c r="E366" s="11" t="n">
        <x:v>597.46</x:v>
      </x:c>
      <x:c r="F366" s="11" t="n">
        <x:v>1262.27</x:v>
      </x:c>
    </x:row>
    <x:row r="367">
      <x:c r="A367" s="11" t="n">
        <x:v>366</x:v>
      </x:c>
      <x:c r="B367" s="11" t="str">
        <x:v>2026-09-30</x:v>
      </x:c>
      <x:c r="C367" s="11" t="str">
        <x:v>L2</x:v>
      </x:c>
      <x:c r="D367" s="11" t="str">
        <x:v>Envasado B</x:v>
      </x:c>
      <x:c r="E367" s="11" t="n">
        <x:v>533.66</x:v>
      </x:c>
      <x:c r="F367" s="11" t="n">
        <x:v>1301.73</x:v>
      </x:c>
    </x:row>
    <x:row r="368">
      <x:c r="A368" s="11" t="n">
        <x:v>367</x:v>
      </x:c>
      <x:c r="B368" s="11" t="str">
        <x:v>2026-09-30</x:v>
      </x:c>
      <x:c r="C368" s="11" t="str">
        <x:v>L3</x:v>
      </x:c>
      <x:c r="D368" s="11" t="str">
        <x:v>Empaque</x:v>
      </x:c>
      <x:c r="E368" s="11" t="n">
        <x:v>387.4</x:v>
      </x:c>
      <x:c r="F368" s="11" t="n">
        <x:v>813.56</x:v>
      </x:c>
    </x:row>
    <x:row r="369">
      <x:c r="A369" s="11" t="n">
        <x:v>368</x:v>
      </x:c>
      <x:c r="B369" s="11" t="str">
        <x:v>2026-09-30</x:v>
      </x:c>
      <x:c r="C369" s="11" t="str">
        <x:v>L4</x:v>
      </x:c>
      <x:c r="D369" s="11" t="str">
        <x:v>Etiquetado</x:v>
      </x:c>
      <x:c r="E369" s="11" t="n">
        <x:v>588.38</x:v>
      </x:c>
      <x:c r="F369" s="11" t="n">
        <x:v>1256.04</x:v>
      </x:c>
    </x:row>
  </x:sheetData>
  <x:pageMargins left="0.7" right="0.7" top="0.75" bottom="0.75" header="0.3" footer="0.3"/>
  <x:tableParts count="1">
    <x:tablePart xmlns:r="http://schemas.openxmlformats.org/officeDocument/2006/relationships" r:id="Rce2d092b361a4462"/>
  </x:tableParts>
</x:worksheet>
</file>